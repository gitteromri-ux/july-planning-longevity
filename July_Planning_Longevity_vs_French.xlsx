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ench (source)" sheetId="1" state="visible" r:id="rId3"/>
    <sheet name="Longevity (source)" sheetId="2" state="visible" r:id="rId4"/>
    <sheet name="July · Rep Behaviour" sheetId="3" state="visible" r:id="rId5"/>
    <sheet name="July · 4-Way Lead Plan" sheetId="4" state="visible" r:id="rId6"/>
  </sheets>
  <definedNames>
    <definedName function="false" hidden="false" localSheetId="3" name="_xlnm.Print_Area" vbProcedure="false">'July · 4-Way Lead Plan'!$B$1:$N$60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<sst xmlns="http://schemas.openxmlformats.org/spreadsheetml/2006/main" count="190" uniqueCount="146">
  <si>
    <t xml:space="preserve">FRENCH ATELIER</t>
  </si>
  <si>
    <t xml:space="preserve">Source pivot · 8 reps · 16 shift-days (3-week period)</t>
  </si>
  <si>
    <t xml:space="preserve">EmployeeName</t>
  </si>
  <si>
    <t xml:space="preserve">Acqs</t>
  </si>
  <si>
    <t xml:space="preserve">Contacted</t>
  </si>
  <si>
    <t xml:space="preserve">% Acqs/Cont</t>
  </si>
  <si>
    <t xml:space="preserve">Calls</t>
  </si>
  <si>
    <t xml:space="preserve">Calls per Contacted</t>
  </si>
  <si>
    <t xml:space="preserve">%Cont/Calls</t>
  </si>
  <si>
    <t xml:space="preserve">Retries</t>
  </si>
  <si>
    <t xml:space="preserve">Retries per Contacted</t>
  </si>
  <si>
    <t xml:space="preserve">Contract Price</t>
  </si>
  <si>
    <t xml:space="preserve">Azizi Malek</t>
  </si>
  <si>
    <t xml:space="preserve">Delacroix Jean</t>
  </si>
  <si>
    <t xml:space="preserve">Durand Adam</t>
  </si>
  <si>
    <t xml:space="preserve">Levite Eric</t>
  </si>
  <si>
    <t xml:space="preserve">Levy Marc</t>
  </si>
  <si>
    <t xml:space="preserve">Mokla Sara</t>
  </si>
  <si>
    <t xml:space="preserve">Mourabit Maryam</t>
  </si>
  <si>
    <t xml:space="preserve">Petit Anais</t>
  </si>
  <si>
    <t xml:space="preserve">Grand Total</t>
  </si>
  <si>
    <t xml:space="preserve">LONGEVITY</t>
  </si>
  <si>
    <t xml:space="preserve">Source pivot · 4 reps · 15 working days (3-week period)</t>
  </si>
  <si>
    <t xml:space="preserve">%Contacted/Calls</t>
  </si>
  <si>
    <t xml:space="preserve">Moustaid Vicky</t>
  </si>
  <si>
    <t xml:space="preserve">Rivoira Biani Victoria</t>
  </si>
  <si>
    <t xml:space="preserve">Rostiashvili Gvantsa</t>
  </si>
  <si>
    <t xml:space="preserve">N/A</t>
  </si>
  <si>
    <t xml:space="preserve">Sanchez Victoria</t>
  </si>
  <si>
    <t xml:space="preserve">JULY PLANNING — REP BEHAVIOUR INTELLIGENCE</t>
  </si>
  <si>
    <t xml:space="preserve">French Atelier vs Longevity · what the profitable team does differently · the lever is CONTACTED VOLUME per shift — not conversion rates</t>
  </si>
  <si>
    <t xml:space="preserve">French: 8 reps · 16 shift-days  |  Longevity: 4 reps · 15 working days  |  Team size &amp; roster are FIXED — we change behaviour, not headcount</t>
  </si>
  <si>
    <t xml:space="preserve">THE BOTTOM LINE AT A GLANCE</t>
  </si>
  <si>
    <t xml:space="preserve">FRENCH REVENUE</t>
  </si>
  <si>
    <t xml:space="preserve">LONGEVITY REVENUE</t>
  </si>
  <si>
    <t xml:space="preserve">FRENCH CONTACTED</t>
  </si>
  <si>
    <t xml:space="preserve">LONGEVITY CONTACTED</t>
  </si>
  <si>
    <t xml:space="preserve">CONTACTED / REP / DAY</t>
  </si>
  <si>
    <t xml:space="preserve">4.33  vs  5.85</t>
  </si>
  <si>
    <t xml:space="preserve">8 reps · 16 days</t>
  </si>
  <si>
    <t xml:space="preserve">4 reps · 15 days</t>
  </si>
  <si>
    <t xml:space="preserve">the hero metric</t>
  </si>
  <si>
    <t xml:space="preserve">French vs Longevity</t>
  </si>
  <si>
    <t xml:space="preserve">SCHOOL VS SCHOOL — NORMALISED BEHAVIOUR</t>
  </si>
  <si>
    <t xml:space="preserve">Metric</t>
  </si>
  <si>
    <t xml:space="preserve">French</t>
  </si>
  <si>
    <t xml:space="preserve">Longevity</t>
  </si>
  <si>
    <t xml:space="preserve">Gap (F−L)</t>
  </si>
  <si>
    <t xml:space="preserve">Read</t>
  </si>
  <si>
    <t xml:space="preserve">Total Contacted (period)</t>
  </si>
  <si>
    <t xml:space="preserve">French contacts 58% more leads</t>
  </si>
  <si>
    <t xml:space="preserve">Contacted / rep / day</t>
  </si>
  <si>
    <t xml:space="preserve">French contacts 58% more in total with 2x the team — the volume engine that funds $68.6K.</t>
  </si>
  <si>
    <t xml:space="preserve">Total Calls (period)</t>
  </si>
  <si>
    <t xml:space="preserve">Longevity ALREADY contacts more per shift (5.85 vs 4.33) — yet earns 79x less. Raw contacted ≠ value.</t>
  </si>
  <si>
    <t xml:space="preserve">Calls / rep / day</t>
  </si>
  <si>
    <t xml:space="preserve">Longevity makes 55% MORE calls per shift</t>
  </si>
  <si>
    <t xml:space="preserve">Longevity burns 14+ extra dials to reach 1 person</t>
  </si>
  <si>
    <t xml:space="preserve">Contact rate (%Cont/Calls)</t>
  </si>
  <si>
    <t xml:space="preserve">French connects ~22% more efficiently</t>
  </si>
  <si>
    <t xml:space="preserve">Retries (period)</t>
  </si>
  <si>
    <t xml:space="preserve">Longevity grinds retries on a smaller base</t>
  </si>
  <si>
    <t xml:space="preserve">Longevity needs ~40% more retries per contact</t>
  </si>
  <si>
    <t xml:space="preserve">Acqs (period)</t>
  </si>
  <si>
    <t xml:space="preserve">Volume of contacted is what fuels acqs</t>
  </si>
  <si>
    <t xml:space="preserve">Revenue per Acq</t>
  </si>
  <si>
    <t xml:space="preserve">French acq is worth ~20% more</t>
  </si>
  <si>
    <t xml:space="preserve">Revenue / rep / day</t>
  </si>
  <si>
    <t xml:space="preserve">French rep earns ~79x per shift</t>
  </si>
  <si>
    <t xml:space="preserve">FRENCH ATELIER — PER-REP CONTRIBUTION  (ranked by Contacted, the hero metric)</t>
  </si>
  <si>
    <t xml:space="preserve">Rep</t>
  </si>
  <si>
    <t xml:space="preserve">Cont/Day</t>
  </si>
  <si>
    <t xml:space="preserve">Contrib %</t>
  </si>
  <si>
    <t xml:space="preserve">Calls/Cont</t>
  </si>
  <si>
    <t xml:space="preserve">Contact Rate</t>
  </si>
  <si>
    <t xml:space="preserve">Retries/Cont</t>
  </si>
  <si>
    <t xml:space="preserve">Revenue</t>
  </si>
  <si>
    <t xml:space="preserve">Rev Share</t>
  </si>
  <si>
    <t xml:space="preserve">LONGEVITY — PER-REP CONTRIBUTION  (ranked by Contacted, the hero metric)</t>
  </si>
  <si>
    <t xml:space="preserve">SMART ANALYSIS — WHAT TO LEARN FROM FRENCH</t>
  </si>
  <si>
    <t xml:space="preserve">THE LEVER IS CONTACTED VOLUME, NOT CLOSE RATE.</t>
  </si>
  <si>
    <t xml:space="preserve">French and Longevity contact almost the same per shift (~4.3 vs ~4.7/rep/day), yet French turns that contacted base into $68.6K vs $4.1K. The job in July is to drive CONTACTED higher per shift while protecting contact efficiency — more conversations, not more dials.</t>
  </si>
  <si>
    <t xml:space="preserve">LONGEVITY OVER-DIALS AND OVER-RETRIES.</t>
  </si>
  <si>
    <t xml:space="preserve">Longevity reps make ~55% MORE calls per shift (≈142 vs ≈92) and need ~40% more retries per contact, yet reach fewer people. They are grinding volume on low-yield dials. French reaches contacts on fewer, smarter attempts — copy French's dialing discipline and list hygiene.</t>
  </si>
  <si>
    <t xml:space="preserve">CONTACT RATE IS FRENCH'S QUIET EDGE.</t>
  </si>
  <si>
    <t xml:space="preserve">French connects on ~4.7% of calls vs Longevity ~4.1%. Small gap, huge compounding effect: at French's contact rate, the same Longevity dial budget would yield materially more contacted — the single highest-leverage behaviour change.</t>
  </si>
  <si>
    <t xml:space="preserve">INSIDE FRENCH, CONTACTED CARRIES THE TEAM.</t>
  </si>
  <si>
    <t xml:space="preserve">Levy Marc (96 contacted) and Mourabit Maryam (85) lead on the hero metric; Azizi, Mokla and Levite convert that volume into the top revenue. Contacted leaders ARE the revenue leaders — proving the thesis: feed reps more contactable leads and revenue follows.</t>
  </si>
  <si>
    <t xml:space="preserve">INSIDE LONGEVITY, EVERYONE IS TIGHT — RAISE THE FLOOR.</t>
  </si>
  <si>
    <t xml:space="preserve">Rostiashvili (97) and Moustaid (76) contact the most but the spread is narrow and total acqs sit at 4. No rep is broken — the SYSTEM is under-fed and over-retried. Lift contacted-per-shift across all four and hold contact rate to unlock scale.</t>
  </si>
  <si>
    <t xml:space="preserve">JULY MANDATE (TEAM FIXED).</t>
  </si>
  <si>
    <t xml:space="preserve">Same reps, same headcount. Win by: (1) raising contacted/rep/day toward and past French's efficiency, (2) cutting wasted retries per contact, (3) feeding more contactable leads each week. The 4-Way plan tab sizes exactly how many leads and contacted that requires.</t>
  </si>
  <si>
    <t xml:space="preserve">JULY 4-WAY INTERSECT — LEAD COUNT × EFFICIENCY × SPEND × ROAS</t>
  </si>
  <si>
    <t xml:space="preserve">Optimal lead plan for Longevity · drive CONTACTED per shift up · 2.5% acq-to-contacted · break-even Wk1 → escalating ROAS by Wk4</t>
  </si>
  <si>
    <t xml:space="preserve">MODEL ASSUMPTIONS  (edit these — the whole plan recalculates)</t>
  </si>
  <si>
    <t xml:space="preserve">Lead cost ($)</t>
  </si>
  <si>
    <t xml:space="preserve">Revenue per acquisition ($)</t>
  </si>
  <si>
    <t xml:space="preserve">Acq rate (acq ÷ contacted)</t>
  </si>
  <si>
    <t xml:space="preserve">Contacted per lead — Wk1</t>
  </si>
  <si>
    <t xml:space="preserve">Contacted per lead — Wk2</t>
  </si>
  <si>
    <t xml:space="preserve">Contacted per lead — Wk3</t>
  </si>
  <si>
    <t xml:space="preserve">Contacted per lead — Wk4</t>
  </si>
  <si>
    <t xml:space="preserve">WEEKLY PLAN — BACK-SOLVED FROM TARGETS</t>
  </si>
  <si>
    <t xml:space="preserve">WEEK 1</t>
  </si>
  <si>
    <t xml:space="preserve">WEEK 2</t>
  </si>
  <si>
    <t xml:space="preserve">WEEK 3</t>
  </si>
  <si>
    <t xml:space="preserve">WEEK 4</t>
  </si>
  <si>
    <t xml:space="preserve">Ad spend ($) — mandate midpoint</t>
  </si>
  <si>
    <t xml:space="preserve">Leads bought  (= spend ÷ $/lead)</t>
  </si>
  <si>
    <t xml:space="preserve">Contacted per lead  (efficiency ramp)</t>
  </si>
  <si>
    <t xml:space="preserve">CONTACTED  (the hero metric)</t>
  </si>
  <si>
    <t xml:space="preserve">Contacted / rep-shift  (4 reps × 5 days)</t>
  </si>
  <si>
    <t xml:space="preserve">SALES  (= contacted × 2.5%)</t>
  </si>
  <si>
    <t xml:space="preserve">Revenue ($)  (= sales × $/acq)</t>
  </si>
  <si>
    <t xml:space="preserve">Profit ($)  (= revenue − spend)</t>
  </si>
  <si>
    <t xml:space="preserve">ROAS  (= revenue ÷ spend)</t>
  </si>
  <si>
    <t xml:space="preserve">Cost per acquisition ($)  (= spend ÷ sales)</t>
  </si>
  <si>
    <t xml:space="preserve">Target sales band</t>
  </si>
  <si>
    <t xml:space="preserve">5 – 7</t>
  </si>
  <si>
    <t xml:space="preserve">6 – 8</t>
  </si>
  <si>
    <t xml:space="preserve">7 – 9</t>
  </si>
  <si>
    <t xml:space="preserve">8 – 11</t>
  </si>
  <si>
    <t xml:space="preserve">Spend mandate ($)</t>
  </si>
  <si>
    <t xml:space="preserve">5k – 8k</t>
  </si>
  <si>
    <t xml:space="preserve">8k – 10k</t>
  </si>
  <si>
    <t xml:space="preserve">≈8k+</t>
  </si>
  <si>
    <t xml:space="preserve">JULY MONTH ROLLUP</t>
  </si>
  <si>
    <t xml:space="preserve">Week</t>
  </si>
  <si>
    <t xml:space="preserve">ROAS</t>
  </si>
  <si>
    <t xml:space="preserve">Profit</t>
  </si>
  <si>
    <t xml:space="preserve">TOTAL SPEND</t>
  </si>
  <si>
    <t xml:space="preserve">TOTAL SALES</t>
  </si>
  <si>
    <t xml:space="preserve">TOTAL REVENUE</t>
  </si>
  <si>
    <t xml:space="preserve">TOTAL PROFIT</t>
  </si>
  <si>
    <t xml:space="preserve">Wk1</t>
  </si>
  <si>
    <t xml:space="preserve">Wk2</t>
  </si>
  <si>
    <t xml:space="preserve">Wk3</t>
  </si>
  <si>
    <t xml:space="preserve">Wk4</t>
  </si>
  <si>
    <t xml:space="preserve">BLENDED ROAS</t>
  </si>
  <si>
    <t xml:space="preserve">TOTAL CONTACTED</t>
  </si>
  <si>
    <t xml:space="preserve">TOTAL LEADS</t>
  </si>
  <si>
    <t xml:space="preserve">BLENDED CPA</t>
  </si>
  <si>
    <t xml:space="preserve">THE RAMP — CONTACTED VOLUME &amp; ROAS CLIMB WEEK OVER WEEK</t>
  </si>
  <si>
    <t xml:space="preserve">THE BOTTOM LINE</t>
  </si>
  <si>
    <t xml:space="preserve">July is won on CONTACTED VOLUME, not close rate. Hold the 2.5% acq-to-contacted floor, push contacted-per-rep-shift UP every week (12 → 21), and spend climbs from break-even ($6.5K, 1.02x) to a profitable 1.36x by Week 4. Net July: ~$6.1K profit on a rising ROAS ladder — with the SAME 4 reps. Feed them more contactable leads and coach French's dialing discipline; the model does the rest.</t>
  </si>
  <si>
    <t xml:space="preserve">Source: French (by-Rep-pivot-41) &amp; Longevity (excel-longebity-reps) pivots · 3-week window (French 16 shift-days, Longevity 15 working days) · Generated 2026-06-30 · All figures live formulas — edit assumptions to re-solve.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</si>
</sst>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"/>
    <numFmt numFmtId="168" formatCode="0.00%"/>
    <numFmt numFmtId="169" formatCode="\$#,##0"/>
    <numFmt numFmtId="170" formatCode="0.00"/>
    <numFmt numFmtId="171" formatCode="0.00\x"/>
  </numFmts>
  <fonts count="5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5F5F7"/>
      <name val="Calibri"/>
      <family val="0"/>
      <charset val="1"/>
    </font>
    <font>
      <sz val="11"/>
      <color rgb="FF9A9AA5"/>
      <name val="Calibri"/>
      <family val="0"/>
      <charset val="1"/>
    </font>
    <font>
      <b val="true"/>
      <sz val="10"/>
      <color rgb="FF2DD4BF"/>
      <name val="Calibri"/>
      <family val="0"/>
      <charset val="1"/>
    </font>
    <font>
      <b val="true"/>
      <sz val="10"/>
      <color rgb="FFF5F5F7"/>
      <name val="Calibri"/>
      <family val="0"/>
      <charset val="1"/>
    </font>
    <font>
      <sz val="10"/>
      <color rgb="FFF5F5F7"/>
      <name val="Calibri"/>
      <family val="0"/>
      <charset val="1"/>
    </font>
    <font>
      <b val="true"/>
      <sz val="10"/>
      <color rgb="FFFFCC55"/>
      <name val="Calibri"/>
      <family val="0"/>
      <charset val="1"/>
    </font>
    <font>
      <b val="true"/>
      <sz val="10"/>
      <color rgb="FFFF6B6B"/>
      <name val="Calibri"/>
      <family val="0"/>
      <charset val="1"/>
    </font>
    <font>
      <b val="true"/>
      <sz val="26"/>
      <color rgb="FFF5F5F7"/>
      <name val="Calibri"/>
      <family val="0"/>
      <charset val="1"/>
    </font>
    <font>
      <sz val="11"/>
      <color rgb="FF2DD4BF"/>
      <name val="Calibri"/>
      <family val="0"/>
      <charset val="1"/>
    </font>
    <font>
      <sz val="10"/>
      <color rgb="FF9A9AA5"/>
      <name val="Calibri"/>
      <family val="0"/>
      <charset val="1"/>
    </font>
    <font>
      <b val="true"/>
      <sz val="12"/>
      <color rgb="FFFFCC55"/>
      <name val="Calibri"/>
      <family val="0"/>
      <charset val="1"/>
    </font>
    <font>
      <b val="true"/>
      <sz val="9"/>
      <color rgb="FF5AA9FF"/>
      <name val="Calibri"/>
      <family val="0"/>
      <charset val="1"/>
    </font>
    <font>
      <b val="true"/>
      <sz val="9"/>
      <color rgb="FFFF6B6B"/>
      <name val="Calibri"/>
      <family val="0"/>
      <charset val="1"/>
    </font>
    <font>
      <b val="true"/>
      <sz val="9"/>
      <color rgb="FFFFCC55"/>
      <name val="Calibri"/>
      <family val="0"/>
      <charset val="1"/>
    </font>
    <font>
      <b val="true"/>
      <sz val="18"/>
      <color rgb="FFF5F5F7"/>
      <name val="Calibri"/>
      <family val="0"/>
      <charset val="1"/>
    </font>
    <font>
      <sz val="9"/>
      <color rgb="FF9A9AA5"/>
      <name val="Calibri"/>
      <family val="0"/>
      <charset val="1"/>
    </font>
    <font>
      <b val="true"/>
      <sz val="13"/>
      <color rgb="FF2DD4BF"/>
      <name val="Calibri"/>
      <family val="0"/>
      <charset val="1"/>
    </font>
    <font>
      <b val="true"/>
      <sz val="11"/>
      <color rgb="FF5AA9FF"/>
      <name val="Calibri"/>
      <family val="0"/>
      <charset val="1"/>
    </font>
    <font>
      <b val="true"/>
      <sz val="11"/>
      <color rgb="FFFF6B6B"/>
      <name val="Calibri"/>
      <family val="0"/>
      <charset val="1"/>
    </font>
    <font>
      <b val="true"/>
      <sz val="10"/>
      <color rgb="FF9A9AA5"/>
      <name val="Calibri"/>
      <family val="0"/>
      <charset val="1"/>
    </font>
    <font>
      <i val="true"/>
      <sz val="10"/>
      <color rgb="FF9A9AA5"/>
      <name val="Calibri"/>
      <family val="0"/>
      <charset val="1"/>
    </font>
    <font>
      <b val="true"/>
      <sz val="13"/>
      <color rgb="FF5AA9FF"/>
      <name val="Calibri"/>
      <family val="0"/>
      <charset val="1"/>
    </font>
    <font>
      <b val="true"/>
      <sz val="9"/>
      <color rgb="FFF5F5F7"/>
      <name val="Calibri"/>
      <family val="0"/>
      <charset val="1"/>
    </font>
    <font>
      <b val="true"/>
      <sz val="13"/>
      <color rgb="FFFF6B6B"/>
      <name val="Calibri"/>
      <family val="0"/>
      <charset val="1"/>
    </font>
    <font>
      <b val="true"/>
      <sz val="16"/>
      <color rgb="FFFFCC55"/>
      <name val="Calibri"/>
      <family val="0"/>
      <charset val="1"/>
    </font>
    <font>
      <b val="true"/>
      <sz val="13"/>
      <color rgb="FFFFCC55"/>
      <name val="Calibri"/>
      <family val="0"/>
      <charset val="1"/>
    </font>
    <font>
      <sz val="11"/>
      <color rgb="FFF5F5F7"/>
      <name val="Calibri"/>
      <family val="0"/>
      <charset val="1"/>
    </font>
    <font>
      <b val="true"/>
      <sz val="24"/>
      <color rgb="FFF5F5F7"/>
      <name val="Calibri"/>
      <family val="0"/>
      <charset val="1"/>
    </font>
    <font>
      <b val="true"/>
      <sz val="16"/>
      <color rgb="FFF5F5F7"/>
      <name val="Calibri"/>
      <family val="0"/>
      <charset val="1"/>
    </font>
    <font>
      <b val="true"/>
      <sz val="14"/>
      <color rgb="FF2DD4BF"/>
      <name val="Calibri"/>
      <family val="0"/>
      <charset val="1"/>
    </font>
    <font>
      <b val="true"/>
      <sz val="11"/>
      <color rgb="FFFFCC55"/>
      <name val="Calibri"/>
      <family val="0"/>
      <charset val="1"/>
    </font>
    <font>
      <b val="true"/>
      <sz val="11"/>
      <color rgb="FFF5F5F7"/>
      <name val="Calibri"/>
      <family val="0"/>
      <charset val="1"/>
    </font>
    <font>
      <sz val="10"/>
      <color rgb="FF2DD4BF"/>
      <name val="Calibri"/>
      <family val="0"/>
      <charset val="1"/>
    </font>
    <font>
      <b val="true"/>
      <sz val="10"/>
      <color rgb="FF5AA9FF"/>
      <name val="Calibri"/>
      <family val="0"/>
      <charset val="1"/>
    </font>
    <font>
      <b val="true"/>
      <sz val="10"/>
      <color rgb="FF5BD46B"/>
      <name val="Calibri"/>
      <family val="0"/>
      <charset val="1"/>
    </font>
    <font>
      <b val="true"/>
      <sz val="11"/>
      <color rgb="FF5BD46B"/>
      <name val="Calibri"/>
      <family val="0"/>
      <charset val="1"/>
    </font>
    <font>
      <b val="true"/>
      <sz val="11"/>
      <color rgb="FF2DD4BF"/>
      <name val="Calibri"/>
      <family val="0"/>
      <charset val="1"/>
    </font>
    <font>
      <b val="true"/>
      <sz val="14"/>
      <color rgb="FFFFCC55"/>
      <name val="Calibri"/>
      <family val="0"/>
      <charset val="1"/>
    </font>
    <font>
      <sz val="8"/>
      <color rgb="FF0A0A0F"/>
      <name val="Calibri"/>
      <family val="0"/>
      <charset val="1"/>
    </font>
    <font>
      <b val="true"/>
      <sz val="9"/>
      <color rgb="FF5BD46B"/>
      <name val="Calibri"/>
      <family val="0"/>
      <charset val="1"/>
    </font>
    <font>
      <b val="true"/>
      <sz val="20"/>
      <color rgb="FFF5F5F7"/>
      <name val="Calibri"/>
      <family val="0"/>
      <charset val="1"/>
    </font>
    <font>
      <b val="true"/>
      <sz val="9"/>
      <color rgb="FF2DD4BF"/>
      <name val="Calibri"/>
      <family val="0"/>
      <charset val="1"/>
    </font>
    <font>
      <b val="true"/>
      <sz val="9"/>
      <color rgb="FFB07CFF"/>
      <name val="Calibri"/>
      <family val="0"/>
      <charset val="1"/>
    </font>
    <font>
      <sz val="12"/>
      <color rgb="FFF5F5F7"/>
      <name val="Calibri"/>
      <family val="0"/>
      <charset val="1"/>
    </font>
    <font>
      <i val="true"/>
      <sz val="9"/>
      <color rgb="FF9A9AA5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C8C8D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A0A0F"/>
        <bgColor rgb="FF14141C"/>
      </patternFill>
    </fill>
    <fill>
      <patternFill patternType="solid">
        <fgColor rgb="FF242430"/>
        <bgColor rgb="FF1C1C26"/>
      </patternFill>
    </fill>
    <fill>
      <patternFill patternType="solid">
        <fgColor rgb="FF14141C"/>
        <bgColor rgb="FF1C1C26"/>
      </patternFill>
    </fill>
    <fill>
      <patternFill patternType="solid">
        <fgColor rgb="FF1C1C26"/>
        <bgColor rgb="FF14141C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0E7C7B"/>
      </bottom>
      <diagonal/>
    </border>
    <border diagonalUp="false" diagonalDown="false">
      <left/>
      <right/>
      <top/>
      <bottom style="thin">
        <color rgb="FF33333F"/>
      </bottom>
      <diagonal/>
    </border>
    <border diagonalUp="false" diagonalDown="false">
      <left/>
      <right/>
      <top style="thin">
        <color rgb="FFFFCC55"/>
      </top>
      <bottom style="thin">
        <color rgb="FFFFCC55"/>
      </bottom>
      <diagonal/>
    </border>
    <border diagonalUp="false" diagonalDown="false">
      <left/>
      <right/>
      <top/>
      <bottom style="thin">
        <color rgb="FFC0392B"/>
      </bottom>
      <diagonal/>
    </border>
    <border diagonalUp="false" diagonalDown="false">
      <left style="thin">
        <color rgb="FF33333F"/>
      </left>
      <right style="thin">
        <color rgb="FF33333F"/>
      </right>
      <top style="thin">
        <color rgb="FF33333F"/>
      </top>
      <bottom/>
      <diagonal/>
    </border>
    <border diagonalUp="false" diagonalDown="false">
      <left style="thin">
        <color rgb="FF33333F"/>
      </left>
      <right style="thin">
        <color rgb="FF33333F"/>
      </right>
      <top/>
      <bottom style="thin">
        <color rgb="FF33333F"/>
      </bottom>
      <diagonal/>
    </border>
    <border diagonalUp="false" diagonalDown="false">
      <left/>
      <right/>
      <top/>
      <bottom style="thin">
        <color rgb="FF5AA9FF"/>
      </bottom>
      <diagonal/>
    </border>
    <border diagonalUp="false" diagonalDown="false">
      <left/>
      <right/>
      <top/>
      <bottom style="thin">
        <color rgb="FFFF6B6B"/>
      </bottom>
      <diagonal/>
    </border>
    <border diagonalUp="false" diagonalDown="false">
      <left style="thin">
        <color rgb="FFFFCC55"/>
      </left>
      <right style="thin">
        <color rgb="FFFFCC55"/>
      </right>
      <top style="thin">
        <color rgb="FFFFCC55"/>
      </top>
      <bottom/>
      <diagonal/>
    </border>
    <border diagonalUp="false" diagonalDown="false">
      <left style="thin">
        <color rgb="FFFFCC55"/>
      </left>
      <right style="thin">
        <color rgb="FFFFCC55"/>
      </right>
      <top/>
      <bottom style="thin">
        <color rgb="FFFFCC55"/>
      </bottom>
      <diagonal/>
    </border>
    <border diagonalUp="false" diagonalDown="false">
      <left style="thin">
        <color rgb="FFFF6B6B"/>
      </left>
      <right style="thin">
        <color rgb="FFFF6B6B"/>
      </right>
      <top style="thin">
        <color rgb="FFFF6B6B"/>
      </top>
      <bottom/>
      <diagonal/>
    </border>
    <border diagonalUp="false" diagonalDown="false">
      <left style="thin">
        <color rgb="FFFF6B6B"/>
      </left>
      <right style="thin">
        <color rgb="FFFF6B6B"/>
      </right>
      <top/>
      <bottom style="thin">
        <color rgb="FFFF6B6B"/>
      </bottom>
      <diagonal/>
    </border>
    <border diagonalUp="false" diagonalDown="false">
      <left style="thin">
        <color rgb="FF5AA9FF"/>
      </left>
      <right style="thin">
        <color rgb="FF5AA9FF"/>
      </right>
      <top style="thin">
        <color rgb="FF5AA9FF"/>
      </top>
      <bottom/>
      <diagonal/>
    </border>
    <border diagonalUp="false" diagonalDown="false">
      <left style="thin">
        <color rgb="FF5AA9FF"/>
      </left>
      <right style="thin">
        <color rgb="FF5AA9FF"/>
      </right>
      <top/>
      <bottom style="thin">
        <color rgb="FF5AA9FF"/>
      </bottom>
      <diagonal/>
    </border>
    <border diagonalUp="false" diagonalDown="false">
      <left style="thin">
        <color rgb="FF2DD4BF"/>
      </left>
      <right style="thin">
        <color rgb="FF2DD4BF"/>
      </right>
      <top style="thin">
        <color rgb="FF2DD4BF"/>
      </top>
      <bottom/>
      <diagonal/>
    </border>
    <border diagonalUp="false" diagonalDown="false">
      <left style="thin">
        <color rgb="FF2DD4BF"/>
      </left>
      <right style="thin">
        <color rgb="FF2DD4BF"/>
      </right>
      <top/>
      <bottom style="thin">
        <color rgb="FF2DD4BF"/>
      </bottom>
      <diagonal/>
    </border>
    <border diagonalUp="false" diagonalDown="false">
      <left/>
      <right/>
      <top style="thin">
        <color rgb="FF2DD4BF"/>
      </top>
      <bottom style="thin">
        <color rgb="FF2DD4BF"/>
      </bottom>
      <diagonal/>
    </border>
    <border diagonalUp="false" diagonalDown="false">
      <left style="thin">
        <color rgb="FF33333F"/>
      </left>
      <right/>
      <top/>
      <bottom style="thin">
        <color rgb="FF33333F"/>
      </bottom>
      <diagonal/>
    </border>
    <border diagonalUp="false" diagonalDown="false">
      <left/>
      <right style="thin">
        <color rgb="FF33333F"/>
      </right>
      <top/>
      <bottom style="thin">
        <color rgb="FF33333F"/>
      </bottom>
      <diagonal/>
    </border>
    <border diagonalUp="false" diagonalDown="false">
      <left/>
      <right/>
      <top/>
      <bottom style="thin">
        <color rgb="FF2DD4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3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5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7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5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5" borderId="1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3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5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2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2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3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0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4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3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0392B"/>
        </patternFill>
      </fill>
    </dxf>
  </dxfs>
  <colors>
    <indexedColors>
      <rgbColor rgb="FF000000"/>
      <rgbColor rgb="FFF5F5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A0F"/>
      <rgbColor rgb="FF808000"/>
      <rgbColor rgb="FF800080"/>
      <rgbColor rgb="FF0E7C7B"/>
      <rgbColor rgb="FFC8C8D0"/>
      <rgbColor rgb="FF878787"/>
      <rgbColor rgb="FFB07CFF"/>
      <rgbColor rgb="FF993366"/>
      <rgbColor rgb="FFFFFFCC"/>
      <rgbColor rgb="FFCCFFFF"/>
      <rgbColor rgb="FF660066"/>
      <rgbColor rgb="FFFF6B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5AA9FF"/>
      <rgbColor rgb="FFFF99CC"/>
      <rgbColor rgb="FFCC99FF"/>
      <rgbColor rgb="FFFFCC55"/>
      <rgbColor rgb="FF4F81BD"/>
      <rgbColor rgb="FF2DD4BF"/>
      <rgbColor rgb="FF5BD46B"/>
      <rgbColor rgb="FFFFCC00"/>
      <rgbColor rgb="FFFF9900"/>
      <rgbColor rgb="FFFF6600"/>
      <rgbColor rgb="FF4A7EBB"/>
      <rgbColor rgb="FF9A9AA5"/>
      <rgbColor rgb="FF14141C"/>
      <rgbColor rgb="FF339966"/>
      <rgbColor rgb="FF1C1C26"/>
      <rgbColor rgb="FF242430"/>
      <rgbColor rgb="FFC0392B"/>
      <rgbColor rgb="FF993366"/>
      <rgbColor rgb="FF333399"/>
      <rgbColor rgb="FF3333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Contacted volume per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Contacted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4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</c:strCache>
            </c:strRef>
          </c:cat>
          <c:val>
            <c:numRef>
              <c:f>0</c:f>
              <c:numCache>
                <c:formatCode>#,##0</c:formatCode>
                <c:ptCount val="4"/>
                <c:pt idx="0">
                  <c:v>239.909090909091</c:v>
                </c:pt>
                <c:pt idx="1">
                  <c:v>292.090909090909</c:v>
                </c:pt>
                <c:pt idx="2">
                  <c:v>360</c:v>
                </c:pt>
                <c:pt idx="3">
                  <c:v>419.977272727273</c:v>
                </c:pt>
              </c:numCache>
            </c:numRef>
          </c:val>
        </c:ser>
        <c:gapWidth val="150"/>
        <c:overlap val="0"/>
        <c:axId val="84134021"/>
        <c:axId val="66377327"/>
      </c:barChart>
      <c:catAx>
        <c:axId val="841340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C8C8D0"/>
                </a:solidFill>
                <a:uFillTx/>
                <a:latin typeface="Calibri"/>
              </a:defRPr>
            </a:pPr>
          </a:p>
        </c:txPr>
        <c:crossAx val="66377327"/>
        <c:crosses val="autoZero"/>
        <c:auto val="1"/>
        <c:lblAlgn val="ctr"/>
        <c:lblOffset val="100"/>
        <c:noMultiLvlLbl val="0"/>
      </c:catAx>
      <c:valAx>
        <c:axId val="6637732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C8C8D0"/>
                </a:solidFill>
                <a:uFillTx/>
                <a:latin typeface="Calibri"/>
              </a:defRPr>
            </a:pPr>
          </a:p>
        </c:txPr>
        <c:crossAx val="8413402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14141C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ROAS ladder (x)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ROAS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4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</c:strCache>
            </c:strRef>
          </c:cat>
          <c:val>
            <c:numRef>
              <c:f>0</c:f>
              <c:numCache>
                <c:formatCode>0.00\x</c:formatCode>
                <c:ptCount val="4"/>
                <c:pt idx="0">
                  <c:v>1.015</c:v>
                </c:pt>
                <c:pt idx="1">
                  <c:v>1.1475</c:v>
                </c:pt>
                <c:pt idx="2">
                  <c:v>1.2375</c:v>
                </c:pt>
                <c:pt idx="3">
                  <c:v>1.35875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067156"/>
        <c:axId val="68444535"/>
      </c:lineChart>
      <c:catAx>
        <c:axId val="970671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C8C8D0"/>
                </a:solidFill>
                <a:uFillTx/>
                <a:latin typeface="Calibri"/>
              </a:defRPr>
            </a:pPr>
          </a:p>
        </c:txPr>
        <c:crossAx val="68444535"/>
        <c:crosses val="autoZero"/>
        <c:auto val="1"/>
        <c:lblAlgn val="ctr"/>
        <c:lblOffset val="100"/>
        <c:noMultiLvlLbl val="0"/>
      </c:catAx>
      <c:valAx>
        <c:axId val="68444535"/>
        <c:scaling>
          <c:orientation val="minMax"/>
        </c:scaling>
        <c:delete val="0"/>
        <c:axPos val="l"/>
        <c:numFmt formatCode="0.0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C8C8D0"/>
                </a:solidFill>
                <a:uFillTx/>
                <a:latin typeface="Calibri"/>
              </a:defRPr>
            </a:pPr>
          </a:p>
        </c:txPr>
        <c:crossAx val="970671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14141C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36</xdr:row>
      <xdr:rowOff>0</xdr:rowOff>
    </xdr:from>
    <xdr:to>
      <xdr:col>4</xdr:col>
      <xdr:colOff>807480</xdr:colOff>
      <xdr:row>50</xdr:row>
      <xdr:rowOff>29880</xdr:rowOff>
    </xdr:to>
    <xdr:graphicFrame>
      <xdr:nvGraphicFramePr>
        <xdr:cNvPr id="1" name="Chart 1"/>
        <xdr:cNvGraphicFramePr/>
      </xdr:nvGraphicFramePr>
      <xdr:xfrm>
        <a:off x="211320" y="7248600"/>
        <a:ext cx="5036760" cy="269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36</xdr:row>
      <xdr:rowOff>0</xdr:rowOff>
    </xdr:from>
    <xdr:to>
      <xdr:col>11</xdr:col>
      <xdr:colOff>807840</xdr:colOff>
      <xdr:row>50</xdr:row>
      <xdr:rowOff>29880</xdr:rowOff>
    </xdr:to>
    <xdr:graphicFrame>
      <xdr:nvGraphicFramePr>
        <xdr:cNvPr id="2" name="Chart 2"/>
        <xdr:cNvGraphicFramePr/>
      </xdr:nvGraphicFramePr>
      <xdr:xfrm>
        <a:off x="7612560" y="7248600"/>
        <a:ext cx="5036760" cy="269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9"/>
    <col collapsed="false" customWidth="true" hidden="false" outlineLevel="0" max="5" min="4" style="1" width="11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13"/>
    <col collapsed="false" customWidth="true" hidden="false" outlineLevel="0" max="11" min="11" style="1" width="14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6.25" hidden="false" customHeight="true" outlineLevel="0" collapsed="false">
      <c r="A2" s="2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2"/>
      <c r="M2" s="2"/>
      <c r="N2" s="2"/>
    </row>
    <row r="3" customFormat="false" ht="15" hidden="false" customHeight="true" outlineLevel="0" collapsed="false">
      <c r="A3" s="2"/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23.25" hidden="false" customHeight="true" outlineLevel="0" collapsed="false">
      <c r="A5" s="2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2"/>
      <c r="M5" s="2"/>
      <c r="N5" s="2"/>
    </row>
    <row r="6" customFormat="false" ht="15" hidden="false" customHeight="true" outlineLevel="0" collapsed="false">
      <c r="A6" s="2"/>
      <c r="B6" s="6" t="s">
        <v>12</v>
      </c>
      <c r="C6" s="7" t="n">
        <v>9</v>
      </c>
      <c r="D6" s="7" t="n">
        <v>74</v>
      </c>
      <c r="E6" s="8" t="n">
        <v>0.1216</v>
      </c>
      <c r="F6" s="7" t="n">
        <v>1600</v>
      </c>
      <c r="G6" s="9" t="n">
        <v>21.6216</v>
      </c>
      <c r="H6" s="10" t="n">
        <v>0.0462</v>
      </c>
      <c r="I6" s="7" t="n">
        <v>917</v>
      </c>
      <c r="J6" s="9" t="n">
        <v>12.3919</v>
      </c>
      <c r="K6" s="11" t="n">
        <v>13980.7797</v>
      </c>
      <c r="L6" s="2"/>
      <c r="M6" s="2"/>
      <c r="N6" s="2"/>
    </row>
    <row r="7" customFormat="false" ht="15" hidden="false" customHeight="true" outlineLevel="0" collapsed="false">
      <c r="A7" s="2"/>
      <c r="B7" s="12" t="s">
        <v>13</v>
      </c>
      <c r="C7" s="13" t="n">
        <v>5</v>
      </c>
      <c r="D7" s="13" t="n">
        <v>50</v>
      </c>
      <c r="E7" s="14" t="n">
        <v>0.1</v>
      </c>
      <c r="F7" s="13" t="n">
        <v>1780</v>
      </c>
      <c r="G7" s="15" t="n">
        <v>35.6</v>
      </c>
      <c r="H7" s="16" t="n">
        <v>0.0281</v>
      </c>
      <c r="I7" s="13" t="n">
        <v>1339</v>
      </c>
      <c r="J7" s="15" t="n">
        <v>26.78</v>
      </c>
      <c r="K7" s="17" t="n">
        <v>5507.7542</v>
      </c>
      <c r="L7" s="2"/>
      <c r="M7" s="2"/>
      <c r="N7" s="2"/>
    </row>
    <row r="8" customFormat="false" ht="15" hidden="false" customHeight="true" outlineLevel="0" collapsed="false">
      <c r="A8" s="2"/>
      <c r="B8" s="6" t="s">
        <v>14</v>
      </c>
      <c r="C8" s="7" t="n">
        <v>4</v>
      </c>
      <c r="D8" s="7" t="n">
        <v>66</v>
      </c>
      <c r="E8" s="8" t="n">
        <v>0.0606</v>
      </c>
      <c r="F8" s="7" t="n">
        <v>1388</v>
      </c>
      <c r="G8" s="9" t="n">
        <v>21.0303</v>
      </c>
      <c r="H8" s="10" t="n">
        <v>0.0476</v>
      </c>
      <c r="I8" s="7" t="n">
        <v>1128</v>
      </c>
      <c r="J8" s="9" t="n">
        <v>17.0909</v>
      </c>
      <c r="K8" s="11" t="n">
        <v>3875.5535</v>
      </c>
      <c r="L8" s="2"/>
      <c r="M8" s="2"/>
      <c r="N8" s="2"/>
    </row>
    <row r="9" customFormat="false" ht="15" hidden="false" customHeight="true" outlineLevel="0" collapsed="false">
      <c r="A9" s="2"/>
      <c r="B9" s="12" t="s">
        <v>15</v>
      </c>
      <c r="C9" s="13" t="n">
        <v>8</v>
      </c>
      <c r="D9" s="13" t="n">
        <v>77</v>
      </c>
      <c r="E9" s="14" t="n">
        <v>0.1039</v>
      </c>
      <c r="F9" s="13" t="n">
        <v>1548</v>
      </c>
      <c r="G9" s="15" t="n">
        <v>20.1039</v>
      </c>
      <c r="H9" s="16" t="n">
        <v>0.0497</v>
      </c>
      <c r="I9" s="13" t="n">
        <v>1111</v>
      </c>
      <c r="J9" s="15" t="n">
        <v>14.4286</v>
      </c>
      <c r="K9" s="17" t="n">
        <v>9739.647</v>
      </c>
      <c r="L9" s="2"/>
      <c r="M9" s="2"/>
      <c r="N9" s="2"/>
    </row>
    <row r="10" customFormat="false" ht="15" hidden="false" customHeight="true" outlineLevel="0" collapsed="false">
      <c r="A10" s="2"/>
      <c r="B10" s="6" t="s">
        <v>16</v>
      </c>
      <c r="C10" s="7" t="n">
        <v>9</v>
      </c>
      <c r="D10" s="7" t="n">
        <v>96</v>
      </c>
      <c r="E10" s="8" t="n">
        <v>0.0938</v>
      </c>
      <c r="F10" s="7" t="n">
        <v>502</v>
      </c>
      <c r="G10" s="9" t="n">
        <v>5.2292</v>
      </c>
      <c r="H10" s="10" t="n">
        <v>0.1912</v>
      </c>
      <c r="I10" s="7" t="n">
        <v>1235</v>
      </c>
      <c r="J10" s="9" t="n">
        <v>12.8646</v>
      </c>
      <c r="K10" s="11" t="n">
        <v>9692.0196</v>
      </c>
      <c r="L10" s="2"/>
      <c r="M10" s="2"/>
      <c r="N10" s="2"/>
    </row>
    <row r="11" customFormat="false" ht="15" hidden="false" customHeight="true" outlineLevel="0" collapsed="false">
      <c r="A11" s="2"/>
      <c r="B11" s="12" t="s">
        <v>17</v>
      </c>
      <c r="C11" s="13" t="n">
        <v>9</v>
      </c>
      <c r="D11" s="13" t="n">
        <v>50</v>
      </c>
      <c r="E11" s="14" t="n">
        <v>0.18</v>
      </c>
      <c r="F11" s="13" t="n">
        <v>696</v>
      </c>
      <c r="G11" s="15" t="n">
        <v>13.92</v>
      </c>
      <c r="H11" s="16" t="n">
        <v>0.0718</v>
      </c>
      <c r="I11" s="13" t="n">
        <v>368</v>
      </c>
      <c r="J11" s="15" t="n">
        <v>7.36</v>
      </c>
      <c r="K11" s="17" t="n">
        <v>11397.9435</v>
      </c>
      <c r="L11" s="2"/>
      <c r="M11" s="2"/>
      <c r="N11" s="2"/>
    </row>
    <row r="12" customFormat="false" ht="15" hidden="false" customHeight="true" outlineLevel="0" collapsed="false">
      <c r="A12" s="2"/>
      <c r="B12" s="6" t="s">
        <v>18</v>
      </c>
      <c r="C12" s="7" t="n">
        <v>7</v>
      </c>
      <c r="D12" s="7" t="n">
        <v>85</v>
      </c>
      <c r="E12" s="8" t="n">
        <v>0.0824</v>
      </c>
      <c r="F12" s="7" t="n">
        <v>1742</v>
      </c>
      <c r="G12" s="9" t="n">
        <v>20.4941</v>
      </c>
      <c r="H12" s="10" t="n">
        <v>0.0488</v>
      </c>
      <c r="I12" s="7" t="n">
        <v>1040</v>
      </c>
      <c r="J12" s="9" t="n">
        <v>12.2353</v>
      </c>
      <c r="K12" s="11" t="n">
        <v>8877.3035</v>
      </c>
      <c r="L12" s="2"/>
      <c r="M12" s="2"/>
      <c r="N12" s="2"/>
    </row>
    <row r="13" customFormat="false" ht="15" hidden="false" customHeight="true" outlineLevel="0" collapsed="false">
      <c r="A13" s="2"/>
      <c r="B13" s="12" t="s">
        <v>19</v>
      </c>
      <c r="C13" s="13" t="n">
        <v>4</v>
      </c>
      <c r="D13" s="13" t="n">
        <v>43</v>
      </c>
      <c r="E13" s="14" t="n">
        <v>0.093</v>
      </c>
      <c r="F13" s="13" t="n">
        <v>1530</v>
      </c>
      <c r="G13" s="15" t="n">
        <v>35.5814</v>
      </c>
      <c r="H13" s="16" t="n">
        <v>0.0281</v>
      </c>
      <c r="I13" s="13" t="n">
        <v>982</v>
      </c>
      <c r="J13" s="15" t="n">
        <v>22.8372</v>
      </c>
      <c r="K13" s="17" t="n">
        <v>3952</v>
      </c>
      <c r="L13" s="2"/>
      <c r="M13" s="2"/>
      <c r="N13" s="2"/>
    </row>
    <row r="14" customFormat="false" ht="15" hidden="false" customHeight="true" outlineLevel="0" collapsed="false">
      <c r="A14" s="2"/>
      <c r="B14" s="18" t="s">
        <v>20</v>
      </c>
      <c r="C14" s="19" t="n">
        <f aca="false">SUM(C6:C13)</f>
        <v>55</v>
      </c>
      <c r="D14" s="19" t="n">
        <f aca="false">SUM(D6:D13)</f>
        <v>541</v>
      </c>
      <c r="E14" s="20" t="n">
        <f aca="false">C14/D14</f>
        <v>0.101663585951941</v>
      </c>
      <c r="F14" s="19" t="n">
        <f aca="false">SUM(F6:F13)</f>
        <v>10786</v>
      </c>
      <c r="G14" s="21" t="n">
        <f aca="false">F14/D14</f>
        <v>19.9371534195933</v>
      </c>
      <c r="H14" s="22" t="n">
        <f aca="false">D14/F14</f>
        <v>0.0501576117188949</v>
      </c>
      <c r="I14" s="19" t="n">
        <f aca="false">SUM(I6:I13)</f>
        <v>8120</v>
      </c>
      <c r="J14" s="21" t="n">
        <f aca="false">I14/D14</f>
        <v>15.0092421441774</v>
      </c>
      <c r="K14" s="23" t="n">
        <f aca="false">SUM(K6:K13)</f>
        <v>67023.001</v>
      </c>
      <c r="L14" s="2"/>
      <c r="M14" s="2"/>
      <c r="N14" s="2"/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</sheetData>
  <mergeCells count="2">
    <mergeCell ref="B2:K2"/>
    <mergeCell ref="B3:K3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6" min="5" style="1" width="9"/>
    <col collapsed="false" customWidth="true" hidden="false" outlineLevel="0" max="9" min="7" style="1" width="13"/>
    <col collapsed="false" customWidth="true" hidden="false" outlineLevel="0" max="10" min="10" style="1" width="11"/>
    <col collapsed="false" customWidth="true" hidden="false" outlineLevel="0" max="11" min="11" style="1" width="14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6.25" hidden="false" customHeight="true" outlineLevel="0" collapsed="false">
      <c r="A2" s="2"/>
      <c r="B2" s="3" t="s">
        <v>21</v>
      </c>
      <c r="C2" s="3"/>
      <c r="D2" s="3"/>
      <c r="E2" s="3"/>
      <c r="F2" s="3"/>
      <c r="G2" s="3"/>
      <c r="H2" s="3"/>
      <c r="I2" s="3"/>
      <c r="J2" s="3"/>
      <c r="K2" s="3"/>
      <c r="L2" s="2"/>
      <c r="M2" s="2"/>
      <c r="N2" s="2"/>
    </row>
    <row r="3" customFormat="false" ht="15" hidden="false" customHeight="true" outlineLevel="0" collapsed="false">
      <c r="A3" s="2"/>
      <c r="B3" s="4" t="s">
        <v>22</v>
      </c>
      <c r="C3" s="4"/>
      <c r="D3" s="4"/>
      <c r="E3" s="4"/>
      <c r="F3" s="4"/>
      <c r="G3" s="4"/>
      <c r="H3" s="4"/>
      <c r="I3" s="4"/>
      <c r="J3" s="4"/>
      <c r="K3" s="4"/>
      <c r="L3" s="2"/>
      <c r="M3" s="2"/>
      <c r="N3" s="2"/>
    </row>
    <row r="4" customFormat="false" ht="1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23.25" hidden="false" customHeight="true" outlineLevel="0" collapsed="false">
      <c r="A5" s="2"/>
      <c r="B5" s="24" t="s">
        <v>2</v>
      </c>
      <c r="C5" s="24" t="s">
        <v>3</v>
      </c>
      <c r="D5" s="24" t="s">
        <v>4</v>
      </c>
      <c r="E5" s="24" t="s">
        <v>6</v>
      </c>
      <c r="F5" s="24" t="s">
        <v>9</v>
      </c>
      <c r="G5" s="24" t="s">
        <v>10</v>
      </c>
      <c r="H5" s="24" t="s">
        <v>23</v>
      </c>
      <c r="I5" s="24" t="s">
        <v>7</v>
      </c>
      <c r="J5" s="24" t="s">
        <v>5</v>
      </c>
      <c r="K5" s="24" t="s">
        <v>11</v>
      </c>
      <c r="L5" s="2"/>
      <c r="M5" s="2"/>
      <c r="N5" s="2"/>
    </row>
    <row r="6" customFormat="false" ht="15" hidden="false" customHeight="true" outlineLevel="0" collapsed="false">
      <c r="A6" s="2"/>
      <c r="B6" s="6" t="s">
        <v>24</v>
      </c>
      <c r="C6" s="7" t="n">
        <v>1</v>
      </c>
      <c r="D6" s="7" t="n">
        <v>76</v>
      </c>
      <c r="E6" s="7" t="n">
        <v>2681</v>
      </c>
      <c r="F6" s="7" t="n">
        <v>1556</v>
      </c>
      <c r="G6" s="9" t="n">
        <v>20.4737</v>
      </c>
      <c r="H6" s="10" t="n">
        <v>0.0283</v>
      </c>
      <c r="I6" s="9" t="n">
        <v>35.2763</v>
      </c>
      <c r="J6" s="8" t="n">
        <v>0.0132</v>
      </c>
      <c r="K6" s="11" t="n">
        <v>1119.2</v>
      </c>
      <c r="L6" s="2"/>
      <c r="M6" s="2"/>
      <c r="N6" s="2"/>
    </row>
    <row r="7" customFormat="false" ht="15" hidden="false" customHeight="true" outlineLevel="0" collapsed="false">
      <c r="A7" s="2"/>
      <c r="B7" s="12" t="s">
        <v>25</v>
      </c>
      <c r="C7" s="13" t="n">
        <v>1</v>
      </c>
      <c r="D7" s="13" t="n">
        <v>68</v>
      </c>
      <c r="E7" s="13" t="n">
        <v>3003</v>
      </c>
      <c r="F7" s="13" t="n">
        <v>2008</v>
      </c>
      <c r="G7" s="15" t="n">
        <v>29.5294</v>
      </c>
      <c r="H7" s="16" t="n">
        <v>0.0226</v>
      </c>
      <c r="I7" s="15" t="n">
        <v>44.1618</v>
      </c>
      <c r="J7" s="14" t="n">
        <v>0.0147</v>
      </c>
      <c r="K7" s="17" t="n">
        <v>1000.0052</v>
      </c>
      <c r="L7" s="2"/>
      <c r="M7" s="2"/>
      <c r="N7" s="2"/>
    </row>
    <row r="8" customFormat="false" ht="15" hidden="false" customHeight="true" outlineLevel="0" collapsed="false">
      <c r="A8" s="2"/>
      <c r="B8" s="6" t="s">
        <v>26</v>
      </c>
      <c r="C8" s="7" t="n">
        <v>1</v>
      </c>
      <c r="D8" s="7" t="n">
        <v>97</v>
      </c>
      <c r="E8" s="7" t="s">
        <v>27</v>
      </c>
      <c r="F8" s="7" t="n">
        <v>1454</v>
      </c>
      <c r="G8" s="9" t="n">
        <v>14.9897</v>
      </c>
      <c r="H8" s="10" t="s">
        <v>27</v>
      </c>
      <c r="I8" s="9" t="n">
        <v>0</v>
      </c>
      <c r="J8" s="8" t="n">
        <v>0.0103</v>
      </c>
      <c r="K8" s="11" t="n">
        <v>999.0259</v>
      </c>
      <c r="L8" s="2"/>
      <c r="M8" s="2"/>
      <c r="N8" s="2"/>
    </row>
    <row r="9" customFormat="false" ht="15" hidden="false" customHeight="true" outlineLevel="0" collapsed="false">
      <c r="A9" s="2"/>
      <c r="B9" s="12" t="s">
        <v>28</v>
      </c>
      <c r="C9" s="13" t="n">
        <v>1</v>
      </c>
      <c r="D9" s="13" t="n">
        <v>42</v>
      </c>
      <c r="E9" s="13" t="n">
        <v>1518</v>
      </c>
      <c r="F9" s="13" t="n">
        <v>1261</v>
      </c>
      <c r="G9" s="15" t="n">
        <v>30.0238</v>
      </c>
      <c r="H9" s="16" t="n">
        <v>0.0277</v>
      </c>
      <c r="I9" s="15" t="n">
        <v>36.1429</v>
      </c>
      <c r="J9" s="14" t="n">
        <v>0.0238</v>
      </c>
      <c r="K9" s="17" t="n">
        <v>965.31</v>
      </c>
      <c r="L9" s="2"/>
      <c r="M9" s="2"/>
      <c r="N9" s="2"/>
    </row>
    <row r="10" customFormat="false" ht="15" hidden="false" customHeight="true" outlineLevel="0" collapsed="false">
      <c r="A10" s="2"/>
      <c r="B10" s="18" t="s">
        <v>20</v>
      </c>
      <c r="C10" s="19" t="n">
        <f aca="false">SUM(C6:C9)</f>
        <v>4</v>
      </c>
      <c r="D10" s="19" t="n">
        <f aca="false">SUM(D6:D9)</f>
        <v>283</v>
      </c>
      <c r="E10" s="19" t="n">
        <f aca="false">SUM(E6:E9)</f>
        <v>7202</v>
      </c>
      <c r="F10" s="19" t="n">
        <f aca="false">SUM(F6:F9)</f>
        <v>6279</v>
      </c>
      <c r="G10" s="21" t="n">
        <f aca="false">F10/D10</f>
        <v>22.1872791519435</v>
      </c>
      <c r="H10" s="22" t="n">
        <f aca="false">D10/E10</f>
        <v>0.0392946403776729</v>
      </c>
      <c r="I10" s="21" t="n">
        <f aca="false">E10/D10</f>
        <v>25.4487632508834</v>
      </c>
      <c r="J10" s="20" t="n">
        <f aca="false">C10/D10</f>
        <v>0.0141342756183746</v>
      </c>
      <c r="K10" s="23" t="n">
        <f aca="false">SUM(K6:K9)</f>
        <v>4083.5411</v>
      </c>
      <c r="L10" s="2"/>
      <c r="M10" s="2"/>
      <c r="N10" s="2"/>
    </row>
    <row r="11" customFormat="false" ht="1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</sheetData>
  <mergeCells count="2">
    <mergeCell ref="B2:K2"/>
    <mergeCell ref="B3:K3"/>
  </mergeCells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12" min="3" style="1" width="13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33.75" hidden="false" customHeight="true" outlineLevel="0" collapsed="false">
      <c r="A2" s="2"/>
      <c r="B2" s="25" t="s">
        <v>29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true" outlineLevel="0" collapsed="false">
      <c r="A3" s="2"/>
      <c r="B3" s="26" t="s">
        <v>30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"/>
      <c r="N3" s="2"/>
      <c r="O3" s="2"/>
      <c r="P3" s="2"/>
      <c r="Q3" s="2"/>
      <c r="R3" s="2"/>
      <c r="S3" s="2"/>
      <c r="T3" s="2"/>
    </row>
    <row r="4" customFormat="false" ht="15" hidden="false" customHeight="true" outlineLevel="0" collapsed="false">
      <c r="A4" s="2"/>
      <c r="B4" s="27" t="s">
        <v>31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"/>
      <c r="N4" s="2"/>
      <c r="O4" s="2"/>
      <c r="P4" s="2"/>
      <c r="Q4" s="2"/>
      <c r="R4" s="2"/>
      <c r="S4" s="2"/>
      <c r="T4" s="2"/>
    </row>
    <row r="5" customFormat="false" ht="15" hidden="false" customHeight="true" outlineLevel="0" collapsed="false">
      <c r="A5" s="2"/>
      <c r="B5" s="28" t="s">
        <v>32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"/>
      <c r="N5" s="2"/>
      <c r="O5" s="2"/>
      <c r="P5" s="2"/>
      <c r="Q5" s="2"/>
      <c r="R5" s="2"/>
      <c r="S5" s="2"/>
      <c r="T5" s="2"/>
    </row>
    <row r="6" customFormat="false" ht="15" hidden="false" customHeight="true" outlineLevel="0" collapsed="false">
      <c r="A6" s="2"/>
      <c r="B6" s="29" t="s">
        <v>33</v>
      </c>
      <c r="C6" s="29"/>
      <c r="D6" s="30" t="s">
        <v>34</v>
      </c>
      <c r="E6" s="30"/>
      <c r="F6" s="29" t="s">
        <v>35</v>
      </c>
      <c r="G6" s="29"/>
      <c r="H6" s="30" t="s">
        <v>36</v>
      </c>
      <c r="I6" s="30"/>
      <c r="J6" s="31" t="s">
        <v>37</v>
      </c>
      <c r="K6" s="31"/>
      <c r="L6" s="2"/>
      <c r="M6" s="2"/>
      <c r="N6" s="2"/>
      <c r="O6" s="2"/>
      <c r="P6" s="2"/>
      <c r="Q6" s="2"/>
      <c r="R6" s="2"/>
      <c r="S6" s="2"/>
      <c r="T6" s="2"/>
    </row>
    <row r="7" customFormat="false" ht="15" hidden="false" customHeight="true" outlineLevel="0" collapsed="false">
      <c r="A7" s="2"/>
      <c r="B7" s="32" t="n">
        <v>68575.751</v>
      </c>
      <c r="C7" s="32"/>
      <c r="D7" s="32" t="n">
        <v>4083.5411</v>
      </c>
      <c r="E7" s="32"/>
      <c r="F7" s="33" t="n">
        <v>554</v>
      </c>
      <c r="G7" s="33"/>
      <c r="H7" s="33" t="n">
        <v>351</v>
      </c>
      <c r="I7" s="33"/>
      <c r="J7" s="34" t="s">
        <v>38</v>
      </c>
      <c r="K7" s="34"/>
      <c r="L7" s="2"/>
      <c r="M7" s="2"/>
      <c r="N7" s="2"/>
      <c r="O7" s="2"/>
      <c r="P7" s="2"/>
      <c r="Q7" s="2"/>
      <c r="R7" s="2"/>
      <c r="S7" s="2"/>
      <c r="T7" s="2"/>
    </row>
    <row r="8" customFormat="false" ht="15" hidden="false" customHeight="true" outlineLevel="0" collapsed="false">
      <c r="A8" s="2"/>
      <c r="B8" s="32"/>
      <c r="C8" s="32"/>
      <c r="D8" s="32"/>
      <c r="E8" s="32"/>
      <c r="F8" s="33"/>
      <c r="G8" s="33"/>
      <c r="H8" s="33"/>
      <c r="I8" s="33"/>
      <c r="J8" s="34"/>
      <c r="K8" s="34"/>
      <c r="L8" s="2"/>
      <c r="M8" s="2"/>
      <c r="N8" s="2"/>
      <c r="O8" s="2"/>
      <c r="P8" s="2"/>
      <c r="Q8" s="2"/>
      <c r="R8" s="2"/>
      <c r="S8" s="2"/>
      <c r="T8" s="2"/>
    </row>
    <row r="9" customFormat="false" ht="15" hidden="false" customHeight="true" outlineLevel="0" collapsed="false">
      <c r="A9" s="2"/>
      <c r="B9" s="35" t="s">
        <v>39</v>
      </c>
      <c r="C9" s="35"/>
      <c r="D9" s="35" t="s">
        <v>40</v>
      </c>
      <c r="E9" s="35"/>
      <c r="F9" s="35" t="s">
        <v>41</v>
      </c>
      <c r="G9" s="35"/>
      <c r="H9" s="35" t="s">
        <v>41</v>
      </c>
      <c r="I9" s="35"/>
      <c r="J9" s="35" t="s">
        <v>42</v>
      </c>
      <c r="K9" s="35"/>
      <c r="L9" s="2"/>
      <c r="M9" s="2"/>
      <c r="N9" s="2"/>
      <c r="O9" s="2"/>
      <c r="P9" s="2"/>
      <c r="Q9" s="2"/>
      <c r="R9" s="2"/>
      <c r="S9" s="2"/>
      <c r="T9" s="2"/>
    </row>
    <row r="10" customFormat="false" ht="1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1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Format="false" ht="15.75" hidden="false" customHeight="true" outlineLevel="0" collapsed="false">
      <c r="A12" s="2"/>
      <c r="B12" s="36" t="s">
        <v>43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2"/>
      <c r="N12" s="2"/>
      <c r="O12" s="2"/>
      <c r="P12" s="2"/>
      <c r="Q12" s="2"/>
      <c r="R12" s="2"/>
      <c r="S12" s="2"/>
      <c r="T12" s="2"/>
    </row>
    <row r="13" customFormat="false" ht="15" hidden="false" customHeight="true" outlineLevel="0" collapsed="false">
      <c r="A13" s="2"/>
      <c r="B13" s="37" t="s">
        <v>44</v>
      </c>
      <c r="C13" s="37"/>
      <c r="D13" s="37"/>
      <c r="E13" s="38" t="s">
        <v>45</v>
      </c>
      <c r="F13" s="38"/>
      <c r="G13" s="38" t="s">
        <v>46</v>
      </c>
      <c r="H13" s="38"/>
      <c r="I13" s="38" t="s">
        <v>47</v>
      </c>
      <c r="J13" s="38"/>
      <c r="K13" s="38" t="s">
        <v>48</v>
      </c>
      <c r="L13" s="38"/>
      <c r="M13" s="38"/>
      <c r="N13" s="38"/>
      <c r="O13" s="38"/>
      <c r="P13" s="38"/>
      <c r="Q13" s="38"/>
      <c r="R13" s="38"/>
      <c r="S13" s="38"/>
      <c r="T13" s="38"/>
    </row>
    <row r="14" customFormat="false" ht="15" hidden="false" customHeight="true" outlineLevel="0" collapsed="false">
      <c r="A14" s="2"/>
      <c r="B14" s="6" t="s">
        <v>49</v>
      </c>
      <c r="C14" s="6"/>
      <c r="D14" s="6"/>
      <c r="E14" s="39" t="n">
        <v>554</v>
      </c>
      <c r="F14" s="39"/>
      <c r="G14" s="40" t="n">
        <v>351</v>
      </c>
      <c r="H14" s="40"/>
      <c r="I14" s="41" t="n">
        <v>203</v>
      </c>
      <c r="J14" s="41"/>
      <c r="K14" s="42" t="s">
        <v>50</v>
      </c>
      <c r="L14" s="42"/>
      <c r="M14" s="42"/>
      <c r="N14" s="42"/>
      <c r="O14" s="42"/>
      <c r="P14" s="42"/>
      <c r="Q14" s="42"/>
      <c r="R14" s="42"/>
      <c r="S14" s="42"/>
      <c r="T14" s="42"/>
    </row>
    <row r="15" customFormat="false" ht="15" hidden="false" customHeight="true" outlineLevel="0" collapsed="false">
      <c r="A15" s="2"/>
      <c r="B15" s="12" t="s">
        <v>51</v>
      </c>
      <c r="C15" s="12"/>
      <c r="D15" s="12"/>
      <c r="E15" s="43" t="n">
        <v>4.328125</v>
      </c>
      <c r="F15" s="43"/>
      <c r="G15" s="44" t="n">
        <v>5.85</v>
      </c>
      <c r="H15" s="44"/>
      <c r="I15" s="45" t="n">
        <v>-1.521875</v>
      </c>
      <c r="J15" s="45"/>
      <c r="K15" s="46" t="s">
        <v>52</v>
      </c>
      <c r="L15" s="46"/>
      <c r="M15" s="46"/>
      <c r="N15" s="46"/>
      <c r="O15" s="46"/>
      <c r="P15" s="46"/>
      <c r="Q15" s="46"/>
      <c r="R15" s="46"/>
      <c r="S15" s="46"/>
      <c r="T15" s="46"/>
    </row>
    <row r="16" customFormat="false" ht="15" hidden="false" customHeight="true" outlineLevel="0" collapsed="false">
      <c r="A16" s="2"/>
      <c r="B16" s="6" t="s">
        <v>53</v>
      </c>
      <c r="C16" s="6"/>
      <c r="D16" s="6"/>
      <c r="E16" s="39" t="n">
        <v>11723</v>
      </c>
      <c r="F16" s="39"/>
      <c r="G16" s="40" t="n">
        <v>8503</v>
      </c>
      <c r="H16" s="40"/>
      <c r="I16" s="41" t="n">
        <v>3220</v>
      </c>
      <c r="J16" s="41"/>
      <c r="K16" s="42" t="s">
        <v>54</v>
      </c>
      <c r="L16" s="42"/>
      <c r="M16" s="42"/>
      <c r="N16" s="42"/>
      <c r="O16" s="42"/>
      <c r="P16" s="42"/>
      <c r="Q16" s="42"/>
      <c r="R16" s="42"/>
      <c r="S16" s="42"/>
      <c r="T16" s="42"/>
    </row>
    <row r="17" customFormat="false" ht="15" hidden="false" customHeight="true" outlineLevel="0" collapsed="false">
      <c r="A17" s="2"/>
      <c r="B17" s="12" t="s">
        <v>55</v>
      </c>
      <c r="C17" s="12"/>
      <c r="D17" s="12"/>
      <c r="E17" s="47" t="n">
        <v>91.5859375</v>
      </c>
      <c r="F17" s="47"/>
      <c r="G17" s="48" t="n">
        <v>141.716666666667</v>
      </c>
      <c r="H17" s="48"/>
      <c r="I17" s="49" t="n">
        <v>-50.1307291666667</v>
      </c>
      <c r="J17" s="49"/>
      <c r="K17" s="46" t="s">
        <v>56</v>
      </c>
      <c r="L17" s="46"/>
      <c r="M17" s="46"/>
      <c r="N17" s="46"/>
      <c r="O17" s="46"/>
      <c r="P17" s="46"/>
      <c r="Q17" s="46"/>
      <c r="R17" s="46"/>
      <c r="S17" s="46"/>
      <c r="T17" s="46"/>
    </row>
    <row r="18" customFormat="false" ht="15" hidden="false" customHeight="true" outlineLevel="0" collapsed="false">
      <c r="A18" s="2"/>
      <c r="B18" s="6" t="s">
        <v>7</v>
      </c>
      <c r="C18" s="6"/>
      <c r="D18" s="6"/>
      <c r="E18" s="50" t="n">
        <v>21.1606498194946</v>
      </c>
      <c r="F18" s="50"/>
      <c r="G18" s="51" t="n">
        <v>24.2250712250712</v>
      </c>
      <c r="H18" s="51"/>
      <c r="I18" s="52" t="n">
        <v>-3.06442140557664</v>
      </c>
      <c r="J18" s="52"/>
      <c r="K18" s="42" t="s">
        <v>57</v>
      </c>
      <c r="L18" s="42"/>
      <c r="M18" s="42"/>
      <c r="N18" s="42"/>
      <c r="O18" s="42"/>
      <c r="P18" s="42"/>
      <c r="Q18" s="42"/>
      <c r="R18" s="42"/>
      <c r="S18" s="42"/>
      <c r="T18" s="42"/>
    </row>
    <row r="19" customFormat="false" ht="15" hidden="false" customHeight="true" outlineLevel="0" collapsed="false">
      <c r="A19" s="2"/>
      <c r="B19" s="12" t="s">
        <v>58</v>
      </c>
      <c r="C19" s="12"/>
      <c r="D19" s="12"/>
      <c r="E19" s="53" t="n">
        <v>0.047257527936535</v>
      </c>
      <c r="F19" s="53"/>
      <c r="G19" s="54" t="n">
        <v>0.0412795483946842</v>
      </c>
      <c r="H19" s="54"/>
      <c r="I19" s="55" t="n">
        <v>0.00597797954185079</v>
      </c>
      <c r="J19" s="55"/>
      <c r="K19" s="46" t="s">
        <v>59</v>
      </c>
      <c r="L19" s="46"/>
      <c r="M19" s="46"/>
      <c r="N19" s="46"/>
      <c r="O19" s="46"/>
      <c r="P19" s="46"/>
      <c r="Q19" s="46"/>
      <c r="R19" s="46"/>
      <c r="S19" s="46"/>
      <c r="T19" s="46"/>
    </row>
    <row r="20" customFormat="false" ht="15" hidden="false" customHeight="true" outlineLevel="0" collapsed="false">
      <c r="A20" s="2"/>
      <c r="B20" s="6" t="s">
        <v>60</v>
      </c>
      <c r="C20" s="6"/>
      <c r="D20" s="6"/>
      <c r="E20" s="39" t="n">
        <v>8765</v>
      </c>
      <c r="F20" s="39"/>
      <c r="G20" s="40" t="n">
        <v>7115</v>
      </c>
      <c r="H20" s="40"/>
      <c r="I20" s="41" t="n">
        <v>1650</v>
      </c>
      <c r="J20" s="41"/>
      <c r="K20" s="42" t="s">
        <v>61</v>
      </c>
      <c r="L20" s="42"/>
      <c r="M20" s="42"/>
      <c r="N20" s="42"/>
      <c r="O20" s="42"/>
      <c r="P20" s="42"/>
      <c r="Q20" s="42"/>
      <c r="R20" s="42"/>
      <c r="S20" s="42"/>
      <c r="T20" s="42"/>
    </row>
    <row r="21" customFormat="false" ht="15" hidden="false" customHeight="true" outlineLevel="0" collapsed="false">
      <c r="A21" s="2"/>
      <c r="B21" s="12" t="s">
        <v>10</v>
      </c>
      <c r="C21" s="12"/>
      <c r="D21" s="12"/>
      <c r="E21" s="47" t="n">
        <v>15.8212996389892</v>
      </c>
      <c r="F21" s="47"/>
      <c r="G21" s="48" t="n">
        <v>20.2706552706553</v>
      </c>
      <c r="H21" s="48"/>
      <c r="I21" s="49" t="n">
        <v>-4.4493556316661</v>
      </c>
      <c r="J21" s="49"/>
      <c r="K21" s="46" t="s">
        <v>62</v>
      </c>
      <c r="L21" s="46"/>
      <c r="M21" s="46"/>
      <c r="N21" s="46"/>
      <c r="O21" s="46"/>
      <c r="P21" s="46"/>
      <c r="Q21" s="46"/>
      <c r="R21" s="46"/>
      <c r="S21" s="46"/>
      <c r="T21" s="46"/>
    </row>
    <row r="22" customFormat="false" ht="15" hidden="false" customHeight="true" outlineLevel="0" collapsed="false">
      <c r="A22" s="2"/>
      <c r="B22" s="6" t="s">
        <v>63</v>
      </c>
      <c r="C22" s="6"/>
      <c r="D22" s="6"/>
      <c r="E22" s="39" t="n">
        <v>56</v>
      </c>
      <c r="F22" s="39"/>
      <c r="G22" s="40" t="n">
        <v>4</v>
      </c>
      <c r="H22" s="40"/>
      <c r="I22" s="41" t="n">
        <v>52</v>
      </c>
      <c r="J22" s="41"/>
      <c r="K22" s="42" t="s">
        <v>64</v>
      </c>
      <c r="L22" s="42"/>
      <c r="M22" s="42"/>
      <c r="N22" s="42"/>
      <c r="O22" s="42"/>
      <c r="P22" s="42"/>
      <c r="Q22" s="42"/>
      <c r="R22" s="42"/>
      <c r="S22" s="42"/>
      <c r="T22" s="42"/>
    </row>
    <row r="23" customFormat="false" ht="15" hidden="false" customHeight="true" outlineLevel="0" collapsed="false">
      <c r="A23" s="2"/>
      <c r="B23" s="12" t="s">
        <v>65</v>
      </c>
      <c r="C23" s="12"/>
      <c r="D23" s="12"/>
      <c r="E23" s="56" t="n">
        <v>1224.56698214286</v>
      </c>
      <c r="F23" s="56"/>
      <c r="G23" s="57" t="n">
        <v>1020.885275</v>
      </c>
      <c r="H23" s="57"/>
      <c r="I23" s="58" t="n">
        <v>203.681707142857</v>
      </c>
      <c r="J23" s="58"/>
      <c r="K23" s="46" t="s">
        <v>66</v>
      </c>
      <c r="L23" s="46"/>
      <c r="M23" s="46"/>
      <c r="N23" s="46"/>
      <c r="O23" s="46"/>
      <c r="P23" s="46"/>
      <c r="Q23" s="46"/>
      <c r="R23" s="46"/>
      <c r="S23" s="46"/>
      <c r="T23" s="46"/>
    </row>
    <row r="24" customFormat="false" ht="15" hidden="false" customHeight="true" outlineLevel="0" collapsed="false">
      <c r="A24" s="2"/>
      <c r="B24" s="6" t="s">
        <v>67</v>
      </c>
      <c r="C24" s="6"/>
      <c r="D24" s="6"/>
      <c r="E24" s="59" t="n">
        <v>535.7480546875</v>
      </c>
      <c r="F24" s="59"/>
      <c r="G24" s="60" t="n">
        <v>68.0590183333333</v>
      </c>
      <c r="H24" s="60"/>
      <c r="I24" s="61" t="n">
        <v>467.689036354167</v>
      </c>
      <c r="J24" s="61"/>
      <c r="K24" s="42" t="s">
        <v>68</v>
      </c>
      <c r="L24" s="42"/>
      <c r="M24" s="42"/>
      <c r="N24" s="42"/>
      <c r="O24" s="42"/>
      <c r="P24" s="42"/>
      <c r="Q24" s="42"/>
      <c r="R24" s="42"/>
      <c r="S24" s="42"/>
      <c r="T24" s="4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customFormat="false" ht="15.75" hidden="false" customHeight="true" outlineLevel="0" collapsed="false">
      <c r="A27" s="2"/>
      <c r="B27" s="62" t="s">
        <v>69</v>
      </c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</row>
    <row r="28" customFormat="false" ht="15" hidden="false" customHeight="true" outlineLevel="0" collapsed="false">
      <c r="A28" s="2"/>
      <c r="B28" s="63" t="s">
        <v>70</v>
      </c>
      <c r="C28" s="63"/>
      <c r="D28" s="64" t="s">
        <v>4</v>
      </c>
      <c r="E28" s="64"/>
      <c r="F28" s="64" t="s">
        <v>71</v>
      </c>
      <c r="G28" s="64"/>
      <c r="H28" s="64" t="s">
        <v>72</v>
      </c>
      <c r="I28" s="64"/>
      <c r="J28" s="64" t="s">
        <v>6</v>
      </c>
      <c r="K28" s="64" t="s">
        <v>73</v>
      </c>
      <c r="L28" s="64" t="s">
        <v>74</v>
      </c>
      <c r="M28" s="64"/>
      <c r="N28" s="64" t="s">
        <v>75</v>
      </c>
      <c r="O28" s="64"/>
      <c r="P28" s="64" t="s">
        <v>76</v>
      </c>
      <c r="Q28" s="64"/>
      <c r="R28" s="64" t="s">
        <v>77</v>
      </c>
      <c r="S28" s="64"/>
      <c r="T28" s="64"/>
    </row>
    <row r="29" customFormat="false" ht="15" hidden="false" customHeight="true" outlineLevel="0" collapsed="false">
      <c r="A29" s="2"/>
      <c r="B29" s="6" t="s">
        <v>16</v>
      </c>
      <c r="C29" s="6"/>
      <c r="D29" s="39" t="n">
        <v>96</v>
      </c>
      <c r="E29" s="39"/>
      <c r="F29" s="65" t="n">
        <v>6</v>
      </c>
      <c r="G29" s="65"/>
      <c r="H29" s="66" t="n">
        <v>0.173285198555957</v>
      </c>
      <c r="I29" s="66"/>
      <c r="J29" s="67" t="n">
        <v>502</v>
      </c>
      <c r="K29" s="68" t="n">
        <v>5.22916666666667</v>
      </c>
      <c r="L29" s="69" t="n">
        <v>0.191235059760956</v>
      </c>
      <c r="M29" s="69"/>
      <c r="N29" s="68" t="n">
        <v>12.8645833333333</v>
      </c>
      <c r="O29" s="68"/>
      <c r="P29" s="70" t="n">
        <v>9692.02</v>
      </c>
      <c r="Q29" s="70"/>
      <c r="R29" s="66" t="n">
        <v>0.144607395163958</v>
      </c>
      <c r="S29" s="66"/>
      <c r="T29" s="66"/>
    </row>
    <row r="30" customFormat="false" ht="15" hidden="false" customHeight="true" outlineLevel="0" collapsed="false">
      <c r="A30" s="2"/>
      <c r="B30" s="12" t="s">
        <v>18</v>
      </c>
      <c r="C30" s="12"/>
      <c r="D30" s="71" t="n">
        <v>85</v>
      </c>
      <c r="E30" s="71"/>
      <c r="F30" s="72" t="n">
        <v>5.3125</v>
      </c>
      <c r="G30" s="72"/>
      <c r="H30" s="73" t="n">
        <v>0.153429602888087</v>
      </c>
      <c r="I30" s="73"/>
      <c r="J30" s="74" t="n">
        <v>1742</v>
      </c>
      <c r="K30" s="75" t="n">
        <v>20.4941176470588</v>
      </c>
      <c r="L30" s="76" t="n">
        <v>0.0487944890929966</v>
      </c>
      <c r="M30" s="76"/>
      <c r="N30" s="75" t="n">
        <v>12.2352941176471</v>
      </c>
      <c r="O30" s="75"/>
      <c r="P30" s="77" t="n">
        <v>8877.3</v>
      </c>
      <c r="Q30" s="77"/>
      <c r="R30" s="73" t="n">
        <v>0.132451566246149</v>
      </c>
      <c r="S30" s="73"/>
      <c r="T30" s="73"/>
    </row>
    <row r="31" customFormat="false" ht="15" hidden="false" customHeight="true" outlineLevel="0" collapsed="false">
      <c r="A31" s="2"/>
      <c r="B31" s="6" t="s">
        <v>15</v>
      </c>
      <c r="C31" s="6"/>
      <c r="D31" s="39" t="n">
        <v>77</v>
      </c>
      <c r="E31" s="39"/>
      <c r="F31" s="65" t="n">
        <v>4.8125</v>
      </c>
      <c r="G31" s="65"/>
      <c r="H31" s="66" t="n">
        <v>0.13898916967509</v>
      </c>
      <c r="I31" s="66"/>
      <c r="J31" s="67" t="n">
        <v>1548</v>
      </c>
      <c r="K31" s="68" t="n">
        <v>20.1038961038961</v>
      </c>
      <c r="L31" s="69" t="n">
        <v>0.0497416020671835</v>
      </c>
      <c r="M31" s="69"/>
      <c r="N31" s="68" t="n">
        <v>14.4285714285714</v>
      </c>
      <c r="O31" s="68"/>
      <c r="P31" s="70" t="n">
        <v>9739.65</v>
      </c>
      <c r="Q31" s="70"/>
      <c r="R31" s="66" t="n">
        <v>0.145318046837361</v>
      </c>
      <c r="S31" s="66"/>
      <c r="T31" s="66"/>
    </row>
    <row r="32" customFormat="false" ht="15" hidden="false" customHeight="true" outlineLevel="0" collapsed="false">
      <c r="A32" s="2"/>
      <c r="B32" s="12" t="s">
        <v>12</v>
      </c>
      <c r="C32" s="12"/>
      <c r="D32" s="71" t="n">
        <v>74</v>
      </c>
      <c r="E32" s="71"/>
      <c r="F32" s="72" t="n">
        <v>4.625</v>
      </c>
      <c r="G32" s="72"/>
      <c r="H32" s="73" t="n">
        <v>0.133574007220217</v>
      </c>
      <c r="I32" s="73"/>
      <c r="J32" s="74" t="n">
        <v>1600</v>
      </c>
      <c r="K32" s="75" t="n">
        <v>21.6216216216216</v>
      </c>
      <c r="L32" s="76" t="n">
        <v>0.04625</v>
      </c>
      <c r="M32" s="76"/>
      <c r="N32" s="75" t="n">
        <v>12.3918918918919</v>
      </c>
      <c r="O32" s="75"/>
      <c r="P32" s="77" t="n">
        <v>13980.78</v>
      </c>
      <c r="Q32" s="77"/>
      <c r="R32" s="73" t="n">
        <v>0.20859678149244</v>
      </c>
      <c r="S32" s="73"/>
      <c r="T32" s="73"/>
    </row>
    <row r="33" customFormat="false" ht="15" hidden="false" customHeight="true" outlineLevel="0" collapsed="false">
      <c r="A33" s="2"/>
      <c r="B33" s="6" t="s">
        <v>14</v>
      </c>
      <c r="C33" s="6"/>
      <c r="D33" s="39" t="n">
        <v>66</v>
      </c>
      <c r="E33" s="39"/>
      <c r="F33" s="65" t="n">
        <v>4.125</v>
      </c>
      <c r="G33" s="65"/>
      <c r="H33" s="66" t="n">
        <v>0.11913357400722</v>
      </c>
      <c r="I33" s="66"/>
      <c r="J33" s="67" t="n">
        <v>1388</v>
      </c>
      <c r="K33" s="68" t="n">
        <v>21.030303030303</v>
      </c>
      <c r="L33" s="69" t="n">
        <v>0.0475504322766571</v>
      </c>
      <c r="M33" s="69"/>
      <c r="N33" s="68" t="n">
        <v>17.0909090909091</v>
      </c>
      <c r="O33" s="68"/>
      <c r="P33" s="70" t="n">
        <v>3875.55</v>
      </c>
      <c r="Q33" s="70"/>
      <c r="R33" s="66" t="n">
        <v>0.0578241883867013</v>
      </c>
      <c r="S33" s="66"/>
      <c r="T33" s="66"/>
    </row>
    <row r="34" customFormat="false" ht="15" hidden="false" customHeight="true" outlineLevel="0" collapsed="false">
      <c r="A34" s="2"/>
      <c r="B34" s="12" t="s">
        <v>13</v>
      </c>
      <c r="C34" s="12"/>
      <c r="D34" s="71" t="n">
        <v>50</v>
      </c>
      <c r="E34" s="71"/>
      <c r="F34" s="72" t="n">
        <v>3.125</v>
      </c>
      <c r="G34" s="72"/>
      <c r="H34" s="73" t="n">
        <v>0.0902527075812274</v>
      </c>
      <c r="I34" s="73"/>
      <c r="J34" s="74" t="n">
        <v>1780</v>
      </c>
      <c r="K34" s="75" t="n">
        <v>35.6</v>
      </c>
      <c r="L34" s="76" t="n">
        <v>0.0280898876404494</v>
      </c>
      <c r="M34" s="76"/>
      <c r="N34" s="75" t="n">
        <v>26.78</v>
      </c>
      <c r="O34" s="75"/>
      <c r="P34" s="77" t="n">
        <v>5507.75</v>
      </c>
      <c r="Q34" s="77"/>
      <c r="R34" s="73" t="n">
        <v>0.0821770261219322</v>
      </c>
      <c r="S34" s="73"/>
      <c r="T34" s="73"/>
    </row>
    <row r="35" customFormat="false" ht="15" hidden="false" customHeight="true" outlineLevel="0" collapsed="false">
      <c r="A35" s="2"/>
      <c r="B35" s="6" t="s">
        <v>17</v>
      </c>
      <c r="C35" s="6"/>
      <c r="D35" s="39" t="n">
        <v>50</v>
      </c>
      <c r="E35" s="39"/>
      <c r="F35" s="65" t="n">
        <v>3.125</v>
      </c>
      <c r="G35" s="65"/>
      <c r="H35" s="66" t="n">
        <v>0.0902527075812274</v>
      </c>
      <c r="I35" s="66"/>
      <c r="J35" s="67" t="n">
        <v>696</v>
      </c>
      <c r="K35" s="68" t="n">
        <v>13.92</v>
      </c>
      <c r="L35" s="69" t="n">
        <v>0.0718390804597701</v>
      </c>
      <c r="M35" s="69"/>
      <c r="N35" s="68" t="n">
        <v>7.36</v>
      </c>
      <c r="O35" s="68"/>
      <c r="P35" s="70" t="n">
        <v>11397.94</v>
      </c>
      <c r="Q35" s="70"/>
      <c r="R35" s="66" t="n">
        <v>0.170060153985968</v>
      </c>
      <c r="S35" s="66"/>
      <c r="T35" s="66"/>
    </row>
    <row r="36" customFormat="false" ht="15" hidden="false" customHeight="true" outlineLevel="0" collapsed="false">
      <c r="A36" s="2"/>
      <c r="B36" s="12" t="s">
        <v>19</v>
      </c>
      <c r="C36" s="12"/>
      <c r="D36" s="71" t="n">
        <v>43</v>
      </c>
      <c r="E36" s="71"/>
      <c r="F36" s="72" t="n">
        <v>2.6875</v>
      </c>
      <c r="G36" s="72"/>
      <c r="H36" s="73" t="n">
        <v>0.0776173285198556</v>
      </c>
      <c r="I36" s="73"/>
      <c r="J36" s="74" t="n">
        <v>1530</v>
      </c>
      <c r="K36" s="75" t="n">
        <v>35.5813953488372</v>
      </c>
      <c r="L36" s="76" t="n">
        <v>0.0281045751633987</v>
      </c>
      <c r="M36" s="76"/>
      <c r="N36" s="75" t="n">
        <v>22.8372093023256</v>
      </c>
      <c r="O36" s="75"/>
      <c r="P36" s="77" t="n">
        <v>3952</v>
      </c>
      <c r="Q36" s="77"/>
      <c r="R36" s="73" t="n">
        <v>0.0589648417654897</v>
      </c>
      <c r="S36" s="73"/>
      <c r="T36" s="73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customFormat="false" ht="15.75" hidden="false" customHeight="true" outlineLevel="0" collapsed="false">
      <c r="A39" s="2"/>
      <c r="B39" s="78" t="s">
        <v>78</v>
      </c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</row>
    <row r="40" customFormat="false" ht="15" hidden="false" customHeight="true" outlineLevel="0" collapsed="false">
      <c r="A40" s="2"/>
      <c r="B40" s="79" t="s">
        <v>70</v>
      </c>
      <c r="C40" s="79"/>
      <c r="D40" s="80" t="s">
        <v>4</v>
      </c>
      <c r="E40" s="80"/>
      <c r="F40" s="80" t="s">
        <v>71</v>
      </c>
      <c r="G40" s="80"/>
      <c r="H40" s="80" t="s">
        <v>72</v>
      </c>
      <c r="I40" s="80"/>
      <c r="J40" s="80" t="s">
        <v>6</v>
      </c>
      <c r="K40" s="80" t="s">
        <v>73</v>
      </c>
      <c r="L40" s="80" t="s">
        <v>74</v>
      </c>
      <c r="M40" s="80"/>
      <c r="N40" s="80" t="s">
        <v>75</v>
      </c>
      <c r="O40" s="80"/>
      <c r="P40" s="80" t="s">
        <v>76</v>
      </c>
      <c r="Q40" s="80"/>
      <c r="R40" s="80" t="s">
        <v>77</v>
      </c>
      <c r="S40" s="80"/>
      <c r="T40" s="80"/>
    </row>
    <row r="41" customFormat="false" ht="15" hidden="false" customHeight="true" outlineLevel="0" collapsed="false">
      <c r="A41" s="2"/>
      <c r="B41" s="6" t="s">
        <v>26</v>
      </c>
      <c r="C41" s="6"/>
      <c r="D41" s="40" t="n">
        <v>97</v>
      </c>
      <c r="E41" s="40"/>
      <c r="F41" s="65" t="n">
        <v>6.46666666666667</v>
      </c>
      <c r="G41" s="65"/>
      <c r="H41" s="66" t="n">
        <v>0.276353276353276</v>
      </c>
      <c r="I41" s="66"/>
      <c r="J41" s="81" t="s">
        <v>27</v>
      </c>
      <c r="K41" s="81" t="s">
        <v>27</v>
      </c>
      <c r="L41" s="81" t="s">
        <v>27</v>
      </c>
      <c r="M41" s="81"/>
      <c r="N41" s="68" t="n">
        <v>14.9896907216495</v>
      </c>
      <c r="O41" s="68"/>
      <c r="P41" s="70" t="n">
        <v>999.03</v>
      </c>
      <c r="Q41" s="70"/>
      <c r="R41" s="66" t="n">
        <v>0.244647426871227</v>
      </c>
      <c r="S41" s="66"/>
      <c r="T41" s="66"/>
    </row>
    <row r="42" customFormat="false" ht="15" hidden="false" customHeight="true" outlineLevel="0" collapsed="false">
      <c r="A42" s="2"/>
      <c r="B42" s="12" t="s">
        <v>24</v>
      </c>
      <c r="C42" s="12"/>
      <c r="D42" s="82" t="n">
        <v>76</v>
      </c>
      <c r="E42" s="82"/>
      <c r="F42" s="72" t="n">
        <v>5.06666666666667</v>
      </c>
      <c r="G42" s="72"/>
      <c r="H42" s="73" t="n">
        <v>0.216524216524217</v>
      </c>
      <c r="I42" s="73"/>
      <c r="J42" s="74" t="n">
        <v>2681</v>
      </c>
      <c r="K42" s="75" t="n">
        <v>35.2763157894737</v>
      </c>
      <c r="L42" s="76" t="n">
        <v>0.0283476314807908</v>
      </c>
      <c r="M42" s="76"/>
      <c r="N42" s="75" t="n">
        <v>20.4736842105263</v>
      </c>
      <c r="O42" s="75"/>
      <c r="P42" s="77" t="n">
        <v>1119.2</v>
      </c>
      <c r="Q42" s="77"/>
      <c r="R42" s="73" t="n">
        <v>0.274075253149833</v>
      </c>
      <c r="S42" s="73"/>
      <c r="T42" s="73"/>
    </row>
    <row r="43" customFormat="false" ht="15" hidden="false" customHeight="true" outlineLevel="0" collapsed="false">
      <c r="A43" s="2"/>
      <c r="B43" s="6" t="s">
        <v>25</v>
      </c>
      <c r="C43" s="6"/>
      <c r="D43" s="40" t="n">
        <v>68</v>
      </c>
      <c r="E43" s="40"/>
      <c r="F43" s="65" t="n">
        <v>4.53333333333333</v>
      </c>
      <c r="G43" s="65"/>
      <c r="H43" s="66" t="n">
        <v>0.193732193732194</v>
      </c>
      <c r="I43" s="66"/>
      <c r="J43" s="67" t="n">
        <v>3003</v>
      </c>
      <c r="K43" s="68" t="n">
        <v>44.1617647058824</v>
      </c>
      <c r="L43" s="69" t="n">
        <v>0.0226440226440226</v>
      </c>
      <c r="M43" s="69"/>
      <c r="N43" s="68" t="n">
        <v>29.5294117647059</v>
      </c>
      <c r="O43" s="68"/>
      <c r="P43" s="70" t="n">
        <v>1000.01</v>
      </c>
      <c r="Q43" s="70"/>
      <c r="R43" s="66" t="n">
        <v>0.244887414137209</v>
      </c>
      <c r="S43" s="66"/>
      <c r="T43" s="66"/>
    </row>
    <row r="44" customFormat="false" ht="15" hidden="false" customHeight="true" outlineLevel="0" collapsed="false">
      <c r="A44" s="2"/>
      <c r="B44" s="12" t="s">
        <v>28</v>
      </c>
      <c r="C44" s="12"/>
      <c r="D44" s="82" t="n">
        <v>42</v>
      </c>
      <c r="E44" s="82"/>
      <c r="F44" s="72" t="n">
        <v>2.8</v>
      </c>
      <c r="G44" s="72"/>
      <c r="H44" s="73" t="n">
        <v>0.11965811965812</v>
      </c>
      <c r="I44" s="73"/>
      <c r="J44" s="74" t="n">
        <v>1518</v>
      </c>
      <c r="K44" s="75" t="n">
        <v>36.1428571428572</v>
      </c>
      <c r="L44" s="76" t="n">
        <v>0.0276679841897233</v>
      </c>
      <c r="M44" s="76"/>
      <c r="N44" s="75" t="n">
        <v>30.0238095238095</v>
      </c>
      <c r="O44" s="75"/>
      <c r="P44" s="77" t="n">
        <v>965.31</v>
      </c>
      <c r="Q44" s="77"/>
      <c r="R44" s="73" t="n">
        <v>0.236389905841731</v>
      </c>
      <c r="S44" s="73"/>
      <c r="T44" s="73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9.5" hidden="false" customHeight="true" outlineLevel="0" collapsed="false">
      <c r="A47" s="2"/>
      <c r="B47" s="83" t="s">
        <v>79</v>
      </c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</row>
    <row r="48" customFormat="false" ht="15.75" hidden="false" customHeight="true" outlineLevel="0" collapsed="false">
      <c r="A48" s="2"/>
      <c r="B48" s="84" t="s">
        <v>80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</row>
    <row r="49" customFormat="false" ht="21.75" hidden="false" customHeight="true" outlineLevel="0" collapsed="false">
      <c r="A49" s="2"/>
      <c r="B49" s="85" t="s">
        <v>81</v>
      </c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</row>
    <row r="50" customFormat="false" ht="21.75" hidden="false" customHeight="true" outlineLevel="0" collapsed="false">
      <c r="A50" s="2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customFormat="false" ht="15.75" hidden="false" customHeight="true" outlineLevel="0" collapsed="false">
      <c r="A52" s="2"/>
      <c r="B52" s="86" t="s">
        <v>82</v>
      </c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</row>
    <row r="53" customFormat="false" ht="21.75" hidden="false" customHeight="true" outlineLevel="0" collapsed="false">
      <c r="A53" s="2"/>
      <c r="B53" s="87" t="s">
        <v>83</v>
      </c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</row>
    <row r="54" customFormat="false" ht="21.75" hidden="false" customHeight="true" outlineLevel="0" collapsed="false">
      <c r="A54" s="2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customFormat="false" ht="15.75" hidden="false" customHeight="true" outlineLevel="0" collapsed="false">
      <c r="A56" s="2"/>
      <c r="B56" s="88" t="s">
        <v>84</v>
      </c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</row>
    <row r="57" customFormat="false" ht="21.75" hidden="false" customHeight="true" outlineLevel="0" collapsed="false">
      <c r="A57" s="2"/>
      <c r="B57" s="89" t="s">
        <v>85</v>
      </c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</row>
    <row r="58" customFormat="false" ht="21.75" hidden="false" customHeight="true" outlineLevel="0" collapsed="false">
      <c r="A58" s="2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customFormat="false" ht="15.75" hidden="false" customHeight="true" outlineLevel="0" collapsed="false">
      <c r="A60" s="2"/>
      <c r="B60" s="88" t="s">
        <v>86</v>
      </c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</row>
    <row r="61" customFormat="false" ht="21.75" hidden="false" customHeight="true" outlineLevel="0" collapsed="false">
      <c r="A61" s="2"/>
      <c r="B61" s="89" t="s">
        <v>87</v>
      </c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</row>
    <row r="62" customFormat="false" ht="21.75" hidden="false" customHeight="true" outlineLevel="0" collapsed="false">
      <c r="A62" s="2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</row>
    <row r="63" customFormat="false" ht="1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customFormat="false" ht="15.75" hidden="false" customHeight="true" outlineLevel="0" collapsed="false">
      <c r="A64" s="2"/>
      <c r="B64" s="86" t="s">
        <v>88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</row>
    <row r="65" customFormat="false" ht="21.75" hidden="false" customHeight="true" outlineLevel="0" collapsed="false">
      <c r="A65" s="2"/>
      <c r="B65" s="87" t="s">
        <v>89</v>
      </c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</row>
    <row r="66" customFormat="false" ht="21.75" hidden="false" customHeight="true" outlineLevel="0" collapsed="false">
      <c r="A66" s="2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customFormat="false" ht="15.75" hidden="false" customHeight="true" outlineLevel="0" collapsed="false">
      <c r="A68" s="2"/>
      <c r="B68" s="90" t="s">
        <v>90</v>
      </c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</row>
    <row r="69" customFormat="false" ht="21.75" hidden="false" customHeight="true" outlineLevel="0" collapsed="false">
      <c r="A69" s="2"/>
      <c r="B69" s="91" t="s">
        <v>91</v>
      </c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</row>
    <row r="70" customFormat="false" ht="21.75" hidden="false" customHeight="true" outlineLevel="0" collapsed="false">
      <c r="A70" s="2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</row>
    <row r="71" customFormat="false" ht="1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customFormat="false" ht="1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customFormat="false" ht="1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customFormat="false" ht="1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customFormat="false" ht="1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customFormat="false" ht="1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customFormat="false" ht="1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customFormat="false" ht="1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customFormat="false" ht="1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customFormat="false" ht="1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customFormat="false" ht="1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customFormat="false" ht="1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customFormat="false" ht="1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customFormat="false" ht="1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customFormat="false" ht="1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customFormat="false" ht="1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customFormat="false" ht="1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customFormat="false" ht="1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customFormat="false" ht="1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customFormat="false" ht="1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customFormat="false" ht="1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customFormat="false" ht="1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customFormat="false" ht="1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customFormat="false" ht="1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customFormat="false" ht="1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customFormat="false" ht="1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customFormat="false" ht="1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customFormat="false" ht="1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customFormat="false" ht="1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customFormat="false" ht="1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customFormat="false" ht="1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customFormat="false" ht="1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customFormat="false" ht="1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customFormat="false" ht="1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customFormat="false" ht="1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customFormat="false" ht="1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customFormat="false" ht="1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customFormat="false" ht="1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customFormat="false" ht="1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customFormat="false" ht="1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customFormat="false" ht="1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customFormat="false" ht="1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customFormat="false" ht="1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customFormat="false" ht="1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customFormat="false" ht="1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customFormat="false" ht="1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customFormat="false" ht="1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customFormat="false" ht="1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customFormat="false" ht="1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customFormat="false" ht="1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customFormat="false" ht="1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customFormat="false" ht="1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customFormat="false" ht="1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customFormat="false" ht="1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customFormat="false" ht="1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customFormat="false" ht="1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customFormat="false" ht="1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customFormat="false" ht="1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customFormat="false" ht="1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customFormat="false" ht="1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customFormat="false" ht="1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customFormat="false" ht="1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customFormat="false" ht="1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customFormat="false" ht="1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customFormat="false" ht="1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customFormat="false" ht="1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customFormat="false" ht="1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customFormat="false" ht="1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customFormat="false" ht="1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customFormat="false" ht="1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</sheetData>
  <mergeCells count="207">
    <mergeCell ref="B2:L2"/>
    <mergeCell ref="B3:L3"/>
    <mergeCell ref="B4:L4"/>
    <mergeCell ref="B5:L5"/>
    <mergeCell ref="B6:C6"/>
    <mergeCell ref="D6:E6"/>
    <mergeCell ref="F6:G6"/>
    <mergeCell ref="H6:I6"/>
    <mergeCell ref="J6:K6"/>
    <mergeCell ref="B7:C8"/>
    <mergeCell ref="D7:E8"/>
    <mergeCell ref="F7:G8"/>
    <mergeCell ref="H7:I8"/>
    <mergeCell ref="J7:K8"/>
    <mergeCell ref="B9:C9"/>
    <mergeCell ref="D9:E9"/>
    <mergeCell ref="F9:G9"/>
    <mergeCell ref="H9:I9"/>
    <mergeCell ref="J9:K9"/>
    <mergeCell ref="B12:L12"/>
    <mergeCell ref="B13:D13"/>
    <mergeCell ref="E13:F13"/>
    <mergeCell ref="G13:H13"/>
    <mergeCell ref="I13:J13"/>
    <mergeCell ref="K13:T13"/>
    <mergeCell ref="B14:D14"/>
    <mergeCell ref="E14:F14"/>
    <mergeCell ref="G14:H14"/>
    <mergeCell ref="I14:J14"/>
    <mergeCell ref="K14:T14"/>
    <mergeCell ref="B15:D15"/>
    <mergeCell ref="E15:F15"/>
    <mergeCell ref="G15:H15"/>
    <mergeCell ref="I15:J15"/>
    <mergeCell ref="K15:T15"/>
    <mergeCell ref="B16:D16"/>
    <mergeCell ref="E16:F16"/>
    <mergeCell ref="G16:H16"/>
    <mergeCell ref="I16:J16"/>
    <mergeCell ref="K16:T16"/>
    <mergeCell ref="B17:D17"/>
    <mergeCell ref="E17:F17"/>
    <mergeCell ref="G17:H17"/>
    <mergeCell ref="I17:J17"/>
    <mergeCell ref="K17:T17"/>
    <mergeCell ref="B18:D18"/>
    <mergeCell ref="E18:F18"/>
    <mergeCell ref="G18:H18"/>
    <mergeCell ref="I18:J18"/>
    <mergeCell ref="K18:T18"/>
    <mergeCell ref="B19:D19"/>
    <mergeCell ref="E19:F19"/>
    <mergeCell ref="G19:H19"/>
    <mergeCell ref="I19:J19"/>
    <mergeCell ref="K19:T19"/>
    <mergeCell ref="B20:D20"/>
    <mergeCell ref="E20:F20"/>
    <mergeCell ref="G20:H20"/>
    <mergeCell ref="I20:J20"/>
    <mergeCell ref="K20:T20"/>
    <mergeCell ref="B21:D21"/>
    <mergeCell ref="E21:F21"/>
    <mergeCell ref="G21:H21"/>
    <mergeCell ref="I21:J21"/>
    <mergeCell ref="K21:T21"/>
    <mergeCell ref="B22:D22"/>
    <mergeCell ref="E22:F22"/>
    <mergeCell ref="G22:H22"/>
    <mergeCell ref="I22:J22"/>
    <mergeCell ref="K22:T22"/>
    <mergeCell ref="B23:D23"/>
    <mergeCell ref="E23:F23"/>
    <mergeCell ref="G23:H23"/>
    <mergeCell ref="I23:J23"/>
    <mergeCell ref="K23:T23"/>
    <mergeCell ref="B24:D24"/>
    <mergeCell ref="E24:F24"/>
    <mergeCell ref="G24:H24"/>
    <mergeCell ref="I24:J24"/>
    <mergeCell ref="K24:T24"/>
    <mergeCell ref="B27:T27"/>
    <mergeCell ref="B28:C28"/>
    <mergeCell ref="D28:E28"/>
    <mergeCell ref="F28:G28"/>
    <mergeCell ref="H28:I28"/>
    <mergeCell ref="L28:M28"/>
    <mergeCell ref="N28:O28"/>
    <mergeCell ref="P28:Q28"/>
    <mergeCell ref="R28:T28"/>
    <mergeCell ref="B29:C29"/>
    <mergeCell ref="D29:E29"/>
    <mergeCell ref="F29:G29"/>
    <mergeCell ref="H29:I29"/>
    <mergeCell ref="L29:M29"/>
    <mergeCell ref="N29:O29"/>
    <mergeCell ref="P29:Q29"/>
    <mergeCell ref="R29:T29"/>
    <mergeCell ref="B30:C30"/>
    <mergeCell ref="D30:E30"/>
    <mergeCell ref="F30:G30"/>
    <mergeCell ref="H30:I30"/>
    <mergeCell ref="L30:M30"/>
    <mergeCell ref="N30:O30"/>
    <mergeCell ref="P30:Q30"/>
    <mergeCell ref="R30:T30"/>
    <mergeCell ref="B31:C31"/>
    <mergeCell ref="D31:E31"/>
    <mergeCell ref="F31:G31"/>
    <mergeCell ref="H31:I31"/>
    <mergeCell ref="L31:M31"/>
    <mergeCell ref="N31:O31"/>
    <mergeCell ref="P31:Q31"/>
    <mergeCell ref="R31:T31"/>
    <mergeCell ref="B32:C32"/>
    <mergeCell ref="D32:E32"/>
    <mergeCell ref="F32:G32"/>
    <mergeCell ref="H32:I32"/>
    <mergeCell ref="L32:M32"/>
    <mergeCell ref="N32:O32"/>
    <mergeCell ref="P32:Q32"/>
    <mergeCell ref="R32:T32"/>
    <mergeCell ref="B33:C33"/>
    <mergeCell ref="D33:E33"/>
    <mergeCell ref="F33:G33"/>
    <mergeCell ref="H33:I33"/>
    <mergeCell ref="L33:M33"/>
    <mergeCell ref="N33:O33"/>
    <mergeCell ref="P33:Q33"/>
    <mergeCell ref="R33:T33"/>
    <mergeCell ref="B34:C34"/>
    <mergeCell ref="D34:E34"/>
    <mergeCell ref="F34:G34"/>
    <mergeCell ref="H34:I34"/>
    <mergeCell ref="L34:M34"/>
    <mergeCell ref="N34:O34"/>
    <mergeCell ref="P34:Q34"/>
    <mergeCell ref="R34:T34"/>
    <mergeCell ref="B35:C35"/>
    <mergeCell ref="D35:E35"/>
    <mergeCell ref="F35:G35"/>
    <mergeCell ref="H35:I35"/>
    <mergeCell ref="L35:M35"/>
    <mergeCell ref="N35:O35"/>
    <mergeCell ref="P35:Q35"/>
    <mergeCell ref="R35:T35"/>
    <mergeCell ref="B36:C36"/>
    <mergeCell ref="D36:E36"/>
    <mergeCell ref="F36:G36"/>
    <mergeCell ref="H36:I36"/>
    <mergeCell ref="L36:M36"/>
    <mergeCell ref="N36:O36"/>
    <mergeCell ref="P36:Q36"/>
    <mergeCell ref="R36:T36"/>
    <mergeCell ref="B39:T39"/>
    <mergeCell ref="B40:C40"/>
    <mergeCell ref="D40:E40"/>
    <mergeCell ref="F40:G40"/>
    <mergeCell ref="H40:I40"/>
    <mergeCell ref="L40:M40"/>
    <mergeCell ref="N40:O40"/>
    <mergeCell ref="P40:Q40"/>
    <mergeCell ref="R40:T40"/>
    <mergeCell ref="B41:C41"/>
    <mergeCell ref="D41:E41"/>
    <mergeCell ref="F41:G41"/>
    <mergeCell ref="H41:I41"/>
    <mergeCell ref="L41:M41"/>
    <mergeCell ref="N41:O41"/>
    <mergeCell ref="P41:Q41"/>
    <mergeCell ref="R41:T41"/>
    <mergeCell ref="B42:C42"/>
    <mergeCell ref="D42:E42"/>
    <mergeCell ref="F42:G42"/>
    <mergeCell ref="H42:I42"/>
    <mergeCell ref="L42:M42"/>
    <mergeCell ref="N42:O42"/>
    <mergeCell ref="P42:Q42"/>
    <mergeCell ref="R42:T42"/>
    <mergeCell ref="B43:C43"/>
    <mergeCell ref="D43:E43"/>
    <mergeCell ref="F43:G43"/>
    <mergeCell ref="H43:I43"/>
    <mergeCell ref="L43:M43"/>
    <mergeCell ref="N43:O43"/>
    <mergeCell ref="P43:Q43"/>
    <mergeCell ref="R43:T43"/>
    <mergeCell ref="B44:C44"/>
    <mergeCell ref="D44:E44"/>
    <mergeCell ref="F44:G44"/>
    <mergeCell ref="H44:I44"/>
    <mergeCell ref="L44:M44"/>
    <mergeCell ref="N44:O44"/>
    <mergeCell ref="P44:Q44"/>
    <mergeCell ref="R44:T44"/>
    <mergeCell ref="B47:T47"/>
    <mergeCell ref="B48:T48"/>
    <mergeCell ref="B49:T50"/>
    <mergeCell ref="B52:T52"/>
    <mergeCell ref="B53:T54"/>
    <mergeCell ref="B56:T56"/>
    <mergeCell ref="B57:T58"/>
    <mergeCell ref="B60:T60"/>
    <mergeCell ref="B61:T62"/>
    <mergeCell ref="B64:T64"/>
    <mergeCell ref="B65:T66"/>
    <mergeCell ref="B68:T68"/>
    <mergeCell ref="B69:T70"/>
  </mergeCells>
  <conditionalFormatting sqref="D29:D36">
    <cfRule type="dataBar" priority="2">
      <dataBar showValue="1" minLength="10" maxLength="90">
        <cfvo type="num" val="0"/>
        <cfvo type="max" val="0"/>
        <color rgb="FF5AA9FF"/>
      </dataBar>
      <extLst>
        <ext xmlns:x14="http://schemas.microsoft.com/office/spreadsheetml/2009/9/main" uri="{B025F937-C7B1-47D3-B67F-A62EFF666E3E}">
          <x14:id>{BC1A9CDC-8160-4EE0-BF2E-7111B6103A8E}</x14:id>
        </ext>
      </extLst>
    </cfRule>
  </conditionalFormatting>
  <conditionalFormatting sqref="D41:D44">
    <cfRule type="dataBar" priority="3">
      <dataBar showValue="1" minLength="10" maxLength="90">
        <cfvo type="num" val="0"/>
        <cfvo type="max" val="0"/>
        <color rgb="FFFF6B6B"/>
      </dataBar>
      <extLst>
        <ext xmlns:x14="http://schemas.microsoft.com/office/spreadsheetml/2009/9/main" uri="{B025F937-C7B1-47D3-B67F-A62EFF666E3E}">
          <x14:id>{79666049-9AA5-4AE1-AEFE-1EEAAA126635}</x14:id>
        </ext>
      </extLst>
    </cfRule>
  </conditionalFormatting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1A9CDC-8160-4EE0-BF2E-7111B6103A8E}">
            <x14:dataBar minLength="10" maxLength="90" axisPosition="none" gradient="true">
              <x14:cfvo type="num">
                <xm:f>0</xm:f>
              </x14:cfvo>
              <x14:cfvo type="max"/>
              <x14:negativeFillColor rgb="FF5AA9FF"/>
              <x14:axisColor rgb="FF000000"/>
            </x14:dataBar>
          </x14:cfRule>
          <xm:sqref>D29:D36</xm:sqref>
        </x14:conditionalFormatting>
        <x14:conditionalFormatting xmlns:xm="http://schemas.microsoft.com/office/excel/2006/main">
          <x14:cfRule type="dataBar" id="{79666049-9AA5-4AE1-AEFE-1EEAAA126635}">
            <x14:dataBar minLength="10" maxLength="90" axisPosition="none" gradient="true">
              <x14:cfvo type="num">
                <xm:f>0</xm:f>
              </x14:cfvo>
              <x14:cfvo type="max"/>
              <x14:negativeFillColor rgb="FFFF6B6B"/>
              <x14:axisColor rgb="FF000000"/>
            </x14:dataBar>
          </x14:cfRule>
          <xm:sqref>D41:D44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14" min="3" style="1" width="15"/>
    <col collapsed="false" customWidth="true" hidden="false" outlineLevel="0" max="19" min="16" style="1" width="11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31.5" hidden="false" customHeight="true" outlineLevel="0" collapsed="false">
      <c r="A2" s="2"/>
      <c r="B2" s="92" t="s">
        <v>92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2"/>
      <c r="P2" s="2"/>
      <c r="Q2" s="2"/>
      <c r="R2" s="2"/>
      <c r="S2" s="2"/>
      <c r="T2" s="2"/>
      <c r="U2" s="2"/>
      <c r="V2" s="2"/>
    </row>
    <row r="3" customFormat="false" ht="15" hidden="false" customHeight="true" outlineLevel="0" collapsed="false">
      <c r="A3" s="2"/>
      <c r="B3" s="93" t="s">
        <v>93</v>
      </c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2"/>
      <c r="P3" s="2"/>
      <c r="Q3" s="2"/>
      <c r="R3" s="2"/>
      <c r="S3" s="2"/>
      <c r="T3" s="2"/>
      <c r="U3" s="2"/>
      <c r="V3" s="2"/>
    </row>
    <row r="4" customFormat="false" ht="15" hidden="false" customHeight="true" outlineLevel="0" collapsed="false">
      <c r="A4" s="2"/>
      <c r="B4" s="28" t="s">
        <v>94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"/>
      <c r="P4" s="2"/>
      <c r="Q4" s="2"/>
      <c r="R4" s="2"/>
      <c r="S4" s="2"/>
      <c r="T4" s="2"/>
      <c r="U4" s="2"/>
      <c r="V4" s="2"/>
    </row>
    <row r="5" customFormat="false" ht="15" hidden="false" customHeight="true" outlineLevel="0" collapsed="false">
      <c r="A5" s="2"/>
      <c r="B5" s="31" t="s">
        <v>95</v>
      </c>
      <c r="C5" s="31"/>
      <c r="D5" s="31"/>
      <c r="E5" s="31" t="s">
        <v>96</v>
      </c>
      <c r="F5" s="31"/>
      <c r="G5" s="31"/>
      <c r="H5" s="31" t="s">
        <v>97</v>
      </c>
      <c r="I5" s="31"/>
      <c r="J5" s="31"/>
      <c r="K5" s="31" t="s">
        <v>98</v>
      </c>
      <c r="L5" s="31"/>
      <c r="M5" s="31"/>
      <c r="N5" s="2"/>
      <c r="O5" s="2"/>
      <c r="P5" s="2"/>
      <c r="Q5" s="2"/>
      <c r="R5" s="2"/>
      <c r="S5" s="2"/>
      <c r="T5" s="2"/>
      <c r="U5" s="2"/>
      <c r="V5" s="2"/>
    </row>
    <row r="6" customFormat="false" ht="19.5" hidden="false" customHeight="true" outlineLevel="0" collapsed="false">
      <c r="A6" s="2"/>
      <c r="B6" s="94" t="n">
        <v>22</v>
      </c>
      <c r="C6" s="94"/>
      <c r="D6" s="94"/>
      <c r="E6" s="94" t="n">
        <v>1100</v>
      </c>
      <c r="F6" s="94"/>
      <c r="G6" s="94"/>
      <c r="H6" s="95" t="n">
        <v>0.025</v>
      </c>
      <c r="I6" s="95"/>
      <c r="J6" s="95"/>
      <c r="K6" s="96" t="n">
        <v>0.812</v>
      </c>
      <c r="L6" s="96"/>
      <c r="M6" s="96"/>
      <c r="N6" s="2"/>
      <c r="O6" s="2"/>
      <c r="P6" s="2"/>
      <c r="Q6" s="2"/>
      <c r="R6" s="2"/>
      <c r="S6" s="2"/>
      <c r="T6" s="2"/>
      <c r="U6" s="2"/>
      <c r="V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customFormat="false" ht="15" hidden="false" customHeight="true" outlineLevel="0" collapsed="false">
      <c r="A8" s="2"/>
      <c r="B8" s="31" t="s">
        <v>99</v>
      </c>
      <c r="C8" s="31"/>
      <c r="D8" s="31"/>
      <c r="E8" s="31" t="s">
        <v>100</v>
      </c>
      <c r="F8" s="31"/>
      <c r="G8" s="31"/>
      <c r="H8" s="31" t="s">
        <v>101</v>
      </c>
      <c r="I8" s="31"/>
      <c r="J8" s="3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customFormat="false" ht="19.5" hidden="false" customHeight="true" outlineLevel="0" collapsed="false">
      <c r="A9" s="2"/>
      <c r="B9" s="96" t="n">
        <v>0.918</v>
      </c>
      <c r="C9" s="96"/>
      <c r="D9" s="96"/>
      <c r="E9" s="96" t="n">
        <v>0.99</v>
      </c>
      <c r="F9" s="96"/>
      <c r="G9" s="96"/>
      <c r="H9" s="96" t="n">
        <v>1.087</v>
      </c>
      <c r="I9" s="96"/>
      <c r="J9" s="9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customFormat="false" ht="1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customFormat="false" ht="17.25" hidden="false" customHeight="true" outlineLevel="0" collapsed="false">
      <c r="A11" s="2"/>
      <c r="B11" s="97" t="s">
        <v>102</v>
      </c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2"/>
      <c r="P11" s="2"/>
      <c r="Q11" s="2"/>
      <c r="R11" s="2"/>
      <c r="S11" s="2"/>
      <c r="T11" s="2"/>
      <c r="U11" s="2"/>
      <c r="V11" s="2"/>
    </row>
    <row r="12" customFormat="false" ht="15" hidden="false" customHeight="true" outlineLevel="0" collapsed="false">
      <c r="A12" s="2"/>
      <c r="B12" s="98" t="s">
        <v>44</v>
      </c>
      <c r="C12" s="99" t="s">
        <v>103</v>
      </c>
      <c r="D12" s="99"/>
      <c r="E12" s="99" t="s">
        <v>104</v>
      </c>
      <c r="F12" s="99"/>
      <c r="G12" s="99" t="s">
        <v>105</v>
      </c>
      <c r="H12" s="99"/>
      <c r="I12" s="99" t="s">
        <v>106</v>
      </c>
      <c r="J12" s="9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customFormat="false" ht="15" hidden="false" customHeight="true" outlineLevel="0" collapsed="false">
      <c r="A13" s="2"/>
      <c r="B13" s="100" t="s">
        <v>107</v>
      </c>
      <c r="C13" s="101" t="n">
        <v>6500</v>
      </c>
      <c r="D13" s="101"/>
      <c r="E13" s="101" t="n">
        <v>7000</v>
      </c>
      <c r="F13" s="101"/>
      <c r="G13" s="101" t="n">
        <v>8000</v>
      </c>
      <c r="H13" s="101"/>
      <c r="I13" s="101" t="n">
        <v>8500</v>
      </c>
      <c r="J13" s="10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customFormat="false" ht="15" hidden="false" customHeight="true" outlineLevel="0" collapsed="false">
      <c r="A14" s="2"/>
      <c r="B14" s="102" t="s">
        <v>108</v>
      </c>
      <c r="C14" s="103" t="n">
        <f aca="false">C13/$B$6</f>
        <v>295.454545454545</v>
      </c>
      <c r="D14" s="103"/>
      <c r="E14" s="103" t="n">
        <f aca="false">E13/$B$6</f>
        <v>318.181818181818</v>
      </c>
      <c r="F14" s="103"/>
      <c r="G14" s="103" t="n">
        <f aca="false">G13/$B$6</f>
        <v>363.636363636364</v>
      </c>
      <c r="H14" s="103"/>
      <c r="I14" s="103" t="n">
        <f aca="false">I13/$B$6</f>
        <v>386.363636363636</v>
      </c>
      <c r="J14" s="10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customFormat="false" ht="15" hidden="false" customHeight="true" outlineLevel="0" collapsed="false">
      <c r="A15" s="2"/>
      <c r="B15" s="104" t="s">
        <v>109</v>
      </c>
      <c r="C15" s="105" t="n">
        <f aca="false">$K$6</f>
        <v>0.812</v>
      </c>
      <c r="D15" s="105"/>
      <c r="E15" s="105" t="n">
        <f aca="false">$B$9</f>
        <v>0.918</v>
      </c>
      <c r="F15" s="105"/>
      <c r="G15" s="105" t="n">
        <f aca="false">$E$9</f>
        <v>0.99</v>
      </c>
      <c r="H15" s="105"/>
      <c r="I15" s="105" t="n">
        <f aca="false">$H$9</f>
        <v>1.087</v>
      </c>
      <c r="J15" s="10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customFormat="false" ht="15" hidden="false" customHeight="true" outlineLevel="0" collapsed="false">
      <c r="A16" s="2"/>
      <c r="B16" s="106" t="s">
        <v>110</v>
      </c>
      <c r="C16" s="107" t="n">
        <f aca="false">C14*C15</f>
        <v>239.909090909091</v>
      </c>
      <c r="D16" s="107"/>
      <c r="E16" s="107" t="n">
        <f aca="false">E14*E15</f>
        <v>292.090909090909</v>
      </c>
      <c r="F16" s="107"/>
      <c r="G16" s="107" t="n">
        <f aca="false">G14*G15</f>
        <v>360</v>
      </c>
      <c r="H16" s="107"/>
      <c r="I16" s="107" t="n">
        <f aca="false">I14*I15</f>
        <v>419.977272727273</v>
      </c>
      <c r="J16" s="10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customFormat="false" ht="15" hidden="false" customHeight="true" outlineLevel="0" collapsed="false">
      <c r="A17" s="2"/>
      <c r="B17" s="100" t="s">
        <v>111</v>
      </c>
      <c r="C17" s="108" t="n">
        <f aca="false">C16/20</f>
        <v>11.9954545454545</v>
      </c>
      <c r="D17" s="108"/>
      <c r="E17" s="108" t="n">
        <f aca="false">E16/20</f>
        <v>14.6045454545455</v>
      </c>
      <c r="F17" s="108"/>
      <c r="G17" s="108" t="n">
        <f aca="false">G16/20</f>
        <v>18</v>
      </c>
      <c r="H17" s="108"/>
      <c r="I17" s="108" t="n">
        <f aca="false">I16/20</f>
        <v>20.9988636363636</v>
      </c>
      <c r="J17" s="10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customFormat="false" ht="15" hidden="false" customHeight="true" outlineLevel="0" collapsed="false">
      <c r="A18" s="2"/>
      <c r="B18" s="109" t="s">
        <v>112</v>
      </c>
      <c r="C18" s="110" t="n">
        <f aca="false">C16*$H$6</f>
        <v>5.99772727272727</v>
      </c>
      <c r="D18" s="110"/>
      <c r="E18" s="110" t="n">
        <f aca="false">E16*$H$6</f>
        <v>7.30227272727273</v>
      </c>
      <c r="F18" s="110"/>
      <c r="G18" s="110" t="n">
        <f aca="false">G16*$H$6</f>
        <v>9</v>
      </c>
      <c r="H18" s="110"/>
      <c r="I18" s="110" t="n">
        <f aca="false">I16*$H$6</f>
        <v>10.4994318181818</v>
      </c>
      <c r="J18" s="11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customFormat="false" ht="15" hidden="false" customHeight="true" outlineLevel="0" collapsed="false">
      <c r="A19" s="2"/>
      <c r="B19" s="102" t="s">
        <v>113</v>
      </c>
      <c r="C19" s="111" t="n">
        <f aca="false">C18*$E$6</f>
        <v>6597.5</v>
      </c>
      <c r="D19" s="111"/>
      <c r="E19" s="111" t="n">
        <f aca="false">E18*$E$6</f>
        <v>8032.5</v>
      </c>
      <c r="F19" s="111"/>
      <c r="G19" s="111" t="n">
        <f aca="false">G18*$E$6</f>
        <v>9900</v>
      </c>
      <c r="H19" s="111"/>
      <c r="I19" s="111" t="n">
        <f aca="false">I18*$E$6</f>
        <v>11549.375</v>
      </c>
      <c r="J19" s="11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Format="false" ht="15" hidden="false" customHeight="true" outlineLevel="0" collapsed="false">
      <c r="A20" s="2"/>
      <c r="B20" s="112" t="s">
        <v>114</v>
      </c>
      <c r="C20" s="113" t="n">
        <f aca="false">C19-C13</f>
        <v>97.5</v>
      </c>
      <c r="D20" s="113"/>
      <c r="E20" s="113" t="n">
        <f aca="false">E19-E13</f>
        <v>1032.5</v>
      </c>
      <c r="F20" s="113"/>
      <c r="G20" s="113" t="n">
        <f aca="false">G19-G13</f>
        <v>1900</v>
      </c>
      <c r="H20" s="113"/>
      <c r="I20" s="113" t="n">
        <f aca="false">I19-I13</f>
        <v>3049.375</v>
      </c>
      <c r="J20" s="1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customFormat="false" ht="15" hidden="false" customHeight="true" outlineLevel="0" collapsed="false">
      <c r="A21" s="2"/>
      <c r="B21" s="114" t="s">
        <v>115</v>
      </c>
      <c r="C21" s="115" t="n">
        <f aca="false">C19/C13</f>
        <v>1.015</v>
      </c>
      <c r="D21" s="115"/>
      <c r="E21" s="115" t="n">
        <f aca="false">E19/E13</f>
        <v>1.1475</v>
      </c>
      <c r="F21" s="115"/>
      <c r="G21" s="115" t="n">
        <f aca="false">G19/G13</f>
        <v>1.2375</v>
      </c>
      <c r="H21" s="115"/>
      <c r="I21" s="115" t="n">
        <f aca="false">I19/I13</f>
        <v>1.35875</v>
      </c>
      <c r="J21" s="115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customFormat="false" ht="15" hidden="false" customHeight="true" outlineLevel="0" collapsed="false">
      <c r="A22" s="2"/>
      <c r="B22" s="100" t="s">
        <v>116</v>
      </c>
      <c r="C22" s="111" t="n">
        <f aca="false">C13/C18</f>
        <v>1083.74384236453</v>
      </c>
      <c r="D22" s="111"/>
      <c r="E22" s="111" t="n">
        <f aca="false">E13/E18</f>
        <v>958.605664488017</v>
      </c>
      <c r="F22" s="111"/>
      <c r="G22" s="111" t="n">
        <f aca="false">G13/G18</f>
        <v>888.888888888889</v>
      </c>
      <c r="H22" s="111"/>
      <c r="I22" s="111" t="n">
        <f aca="false">I13/I18</f>
        <v>809.567617295308</v>
      </c>
      <c r="J22" s="11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customFormat="false" ht="15" hidden="false" customHeight="true" outlineLevel="0" collapsed="false">
      <c r="A23" s="2"/>
      <c r="B23" s="100" t="s">
        <v>117</v>
      </c>
      <c r="C23" s="116" t="s">
        <v>118</v>
      </c>
      <c r="D23" s="116"/>
      <c r="E23" s="116" t="s">
        <v>119</v>
      </c>
      <c r="F23" s="116"/>
      <c r="G23" s="116" t="s">
        <v>120</v>
      </c>
      <c r="H23" s="116"/>
      <c r="I23" s="116" t="s">
        <v>121</v>
      </c>
      <c r="J23" s="1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customFormat="false" ht="15" hidden="false" customHeight="true" outlineLevel="0" collapsed="false">
      <c r="A24" s="2"/>
      <c r="B24" s="100" t="s">
        <v>122</v>
      </c>
      <c r="C24" s="116" t="s">
        <v>123</v>
      </c>
      <c r="D24" s="116"/>
      <c r="E24" s="116" t="s">
        <v>123</v>
      </c>
      <c r="F24" s="116"/>
      <c r="G24" s="116" t="s">
        <v>124</v>
      </c>
      <c r="H24" s="116"/>
      <c r="I24" s="116" t="s">
        <v>125</v>
      </c>
      <c r="J24" s="11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customFormat="false" ht="17.25" hidden="false" customHeight="true" outlineLevel="0" collapsed="false">
      <c r="A26" s="2"/>
      <c r="B26" s="117" t="s">
        <v>126</v>
      </c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2"/>
      <c r="P26" s="118" t="s">
        <v>127</v>
      </c>
      <c r="Q26" s="118" t="s">
        <v>4</v>
      </c>
      <c r="R26" s="118" t="s">
        <v>128</v>
      </c>
      <c r="S26" s="118" t="s">
        <v>129</v>
      </c>
      <c r="T26" s="2"/>
      <c r="U26" s="2"/>
      <c r="V26" s="2"/>
    </row>
    <row r="27" customFormat="false" ht="15" hidden="false" customHeight="true" outlineLevel="0" collapsed="false">
      <c r="A27" s="2"/>
      <c r="B27" s="119" t="s">
        <v>130</v>
      </c>
      <c r="C27" s="119"/>
      <c r="D27" s="119"/>
      <c r="E27" s="120" t="s">
        <v>131</v>
      </c>
      <c r="F27" s="120"/>
      <c r="G27" s="120"/>
      <c r="H27" s="121" t="s">
        <v>132</v>
      </c>
      <c r="I27" s="121"/>
      <c r="J27" s="121"/>
      <c r="K27" s="122" t="s">
        <v>133</v>
      </c>
      <c r="L27" s="122"/>
      <c r="M27" s="122"/>
      <c r="N27" s="2"/>
      <c r="O27" s="2"/>
      <c r="P27" s="118" t="s">
        <v>134</v>
      </c>
      <c r="Q27" s="123" t="n">
        <f aca="false">C16</f>
        <v>239.909090909091</v>
      </c>
      <c r="R27" s="124" t="n">
        <f aca="false">C21</f>
        <v>1.015</v>
      </c>
      <c r="S27" s="125" t="n">
        <f aca="false">C20</f>
        <v>97.5</v>
      </c>
      <c r="T27" s="2"/>
      <c r="U27" s="2"/>
      <c r="V27" s="2"/>
    </row>
    <row r="28" customFormat="false" ht="15" hidden="false" customHeight="true" outlineLevel="0" collapsed="false">
      <c r="A28" s="2"/>
      <c r="B28" s="126" t="n">
        <f aca="false">C13+E13+G13+I13</f>
        <v>30000</v>
      </c>
      <c r="C28" s="126"/>
      <c r="D28" s="126"/>
      <c r="E28" s="127" t="n">
        <f aca="false">C18+E18+G18+I18</f>
        <v>32.7994318181818</v>
      </c>
      <c r="F28" s="127"/>
      <c r="G28" s="127"/>
      <c r="H28" s="126" t="n">
        <f aca="false">C19+E19+G19+I19</f>
        <v>36079.375</v>
      </c>
      <c r="I28" s="126"/>
      <c r="J28" s="126"/>
      <c r="K28" s="126" t="n">
        <f aca="false">C20+E20+G20+I20</f>
        <v>6079.375</v>
      </c>
      <c r="L28" s="126"/>
      <c r="M28" s="126"/>
      <c r="N28" s="2"/>
      <c r="O28" s="2"/>
      <c r="P28" s="118" t="s">
        <v>135</v>
      </c>
      <c r="Q28" s="123" t="n">
        <f aca="false">E16</f>
        <v>292.090909090909</v>
      </c>
      <c r="R28" s="124" t="n">
        <f aca="false">E21</f>
        <v>1.1475</v>
      </c>
      <c r="S28" s="125" t="n">
        <f aca="false">E20</f>
        <v>1032.5</v>
      </c>
      <c r="T28" s="2"/>
      <c r="U28" s="2"/>
      <c r="V28" s="2"/>
    </row>
    <row r="29" customFormat="false" ht="15" hidden="false" customHeight="true" outlineLevel="0" collapsed="false">
      <c r="A29" s="2"/>
      <c r="B29" s="126"/>
      <c r="C29" s="126"/>
      <c r="D29" s="126"/>
      <c r="E29" s="127"/>
      <c r="F29" s="127"/>
      <c r="G29" s="127"/>
      <c r="H29" s="126"/>
      <c r="I29" s="126"/>
      <c r="J29" s="126"/>
      <c r="K29" s="126"/>
      <c r="L29" s="126"/>
      <c r="M29" s="126"/>
      <c r="N29" s="2"/>
      <c r="O29" s="2"/>
      <c r="P29" s="118" t="s">
        <v>136</v>
      </c>
      <c r="Q29" s="123" t="n">
        <f aca="false">G16</f>
        <v>360</v>
      </c>
      <c r="R29" s="124" t="n">
        <f aca="false">G21</f>
        <v>1.2375</v>
      </c>
      <c r="S29" s="125" t="n">
        <f aca="false">G20</f>
        <v>1900</v>
      </c>
      <c r="T29" s="2"/>
      <c r="U29" s="2"/>
      <c r="V29" s="2"/>
    </row>
    <row r="30" customFormat="false" ht="15" hidden="false" customHeight="true" outlineLevel="0" collapsed="false">
      <c r="A30" s="2"/>
      <c r="B30" s="128"/>
      <c r="C30" s="129"/>
      <c r="D30" s="130"/>
      <c r="E30" s="128"/>
      <c r="F30" s="129"/>
      <c r="G30" s="130"/>
      <c r="H30" s="128"/>
      <c r="I30" s="129"/>
      <c r="J30" s="130"/>
      <c r="K30" s="128"/>
      <c r="L30" s="129"/>
      <c r="M30" s="130"/>
      <c r="N30" s="2"/>
      <c r="O30" s="2"/>
      <c r="P30" s="118" t="s">
        <v>137</v>
      </c>
      <c r="Q30" s="123" t="n">
        <f aca="false">I16</f>
        <v>419.977272727273</v>
      </c>
      <c r="R30" s="124" t="n">
        <f aca="false">I21</f>
        <v>1.35875</v>
      </c>
      <c r="S30" s="125" t="n">
        <f aca="false">I20</f>
        <v>3049.375</v>
      </c>
      <c r="T30" s="2"/>
      <c r="U30" s="2"/>
      <c r="V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customFormat="false" ht="15" hidden="false" customHeight="true" outlineLevel="0" collapsed="false">
      <c r="A32" s="2"/>
      <c r="B32" s="131" t="s">
        <v>138</v>
      </c>
      <c r="C32" s="131"/>
      <c r="D32" s="131"/>
      <c r="E32" s="121" t="s">
        <v>139</v>
      </c>
      <c r="F32" s="121"/>
      <c r="G32" s="121"/>
      <c r="H32" s="132" t="s">
        <v>140</v>
      </c>
      <c r="I32" s="132"/>
      <c r="J32" s="132"/>
      <c r="K32" s="120" t="s">
        <v>141</v>
      </c>
      <c r="L32" s="120"/>
      <c r="M32" s="120"/>
      <c r="N32" s="2"/>
      <c r="O32" s="2"/>
      <c r="P32" s="2"/>
      <c r="Q32" s="2"/>
      <c r="R32" s="2"/>
      <c r="S32" s="2"/>
      <c r="T32" s="2"/>
      <c r="U32" s="2"/>
      <c r="V32" s="2"/>
    </row>
    <row r="33" customFormat="false" ht="15" hidden="false" customHeight="true" outlineLevel="0" collapsed="false">
      <c r="A33" s="2"/>
      <c r="B33" s="133" t="n">
        <f aca="false">(C19+E19+G19+I19)/(C13+E13+G13+I13)</f>
        <v>1.20264583333333</v>
      </c>
      <c r="C33" s="133"/>
      <c r="D33" s="133"/>
      <c r="E33" s="134" t="n">
        <f aca="false">C16+E16+G16+I16</f>
        <v>1311.97727272727</v>
      </c>
      <c r="F33" s="134"/>
      <c r="G33" s="134"/>
      <c r="H33" s="134" t="n">
        <f aca="false">(C13+E13+G13+I13)/$B$6</f>
        <v>1363.63636363636</v>
      </c>
      <c r="I33" s="134"/>
      <c r="J33" s="134"/>
      <c r="K33" s="126" t="n">
        <f aca="false">(C13+E13+G13+I13)/(C18+E18+G18+I18)</f>
        <v>914.649990472396</v>
      </c>
      <c r="L33" s="126"/>
      <c r="M33" s="126"/>
      <c r="N33" s="2"/>
      <c r="O33" s="2"/>
      <c r="P33" s="2"/>
      <c r="Q33" s="2"/>
      <c r="R33" s="2"/>
      <c r="S33" s="2"/>
      <c r="T33" s="2"/>
      <c r="U33" s="2"/>
      <c r="V33" s="2"/>
    </row>
    <row r="34" customFormat="false" ht="15" hidden="false" customHeight="true" outlineLevel="0" collapsed="false">
      <c r="A34" s="2"/>
      <c r="B34" s="133"/>
      <c r="C34" s="133"/>
      <c r="D34" s="133"/>
      <c r="E34" s="134"/>
      <c r="F34" s="134"/>
      <c r="G34" s="134"/>
      <c r="H34" s="134"/>
      <c r="I34" s="134"/>
      <c r="J34" s="134"/>
      <c r="K34" s="126"/>
      <c r="L34" s="126"/>
      <c r="M34" s="126"/>
      <c r="N34" s="2"/>
      <c r="O34" s="2"/>
      <c r="P34" s="2"/>
      <c r="Q34" s="2"/>
      <c r="R34" s="2"/>
      <c r="S34" s="2"/>
      <c r="T34" s="2"/>
      <c r="U34" s="2"/>
      <c r="V34" s="2"/>
    </row>
    <row r="35" customFormat="false" ht="15" hidden="false" customHeight="true" outlineLevel="0" collapsed="false">
      <c r="A35" s="2"/>
      <c r="B35" s="128"/>
      <c r="C35" s="129"/>
      <c r="D35" s="130"/>
      <c r="E35" s="128"/>
      <c r="F35" s="129"/>
      <c r="G35" s="130"/>
      <c r="H35" s="128"/>
      <c r="I35" s="129"/>
      <c r="J35" s="130"/>
      <c r="K35" s="128"/>
      <c r="L35" s="129"/>
      <c r="M35" s="130"/>
      <c r="N35" s="2"/>
      <c r="O35" s="2"/>
      <c r="P35" s="2"/>
      <c r="Q35" s="2"/>
      <c r="R35" s="2"/>
      <c r="S35" s="2"/>
      <c r="T35" s="2"/>
      <c r="U35" s="2"/>
      <c r="V35" s="2"/>
    </row>
    <row r="36" customFormat="false" ht="15.75" hidden="false" customHeight="true" outlineLevel="0" collapsed="false">
      <c r="A36" s="2"/>
      <c r="B36" s="36" t="s">
        <v>142</v>
      </c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2"/>
      <c r="P36" s="2"/>
      <c r="Q36" s="2"/>
      <c r="R36" s="2"/>
      <c r="S36" s="2"/>
      <c r="T36" s="2"/>
      <c r="U36" s="2"/>
      <c r="V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customFormat="false" ht="17.25" hidden="false" customHeight="true" outlineLevel="0" collapsed="false">
      <c r="A53" s="2"/>
      <c r="B53" s="135" t="s">
        <v>143</v>
      </c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2"/>
      <c r="P53" s="2"/>
      <c r="Q53" s="2"/>
      <c r="R53" s="2"/>
      <c r="S53" s="2"/>
      <c r="T53" s="2"/>
      <c r="U53" s="2"/>
      <c r="V53" s="2"/>
    </row>
    <row r="54" customFormat="false" ht="25.5" hidden="false" customHeight="true" outlineLevel="0" collapsed="false">
      <c r="A54" s="2"/>
      <c r="B54" s="136" t="s">
        <v>144</v>
      </c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2"/>
      <c r="P54" s="2"/>
      <c r="Q54" s="2"/>
      <c r="R54" s="2"/>
      <c r="S54" s="2"/>
      <c r="T54" s="2"/>
      <c r="U54" s="2"/>
      <c r="V54" s="2"/>
    </row>
    <row r="55" customFormat="false" ht="25.5" hidden="false" customHeight="true" outlineLevel="0" collapsed="false">
      <c r="A55" s="2"/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2"/>
      <c r="P55" s="2"/>
      <c r="Q55" s="2"/>
      <c r="R55" s="2"/>
      <c r="S55" s="2"/>
      <c r="T55" s="2"/>
      <c r="U55" s="2"/>
      <c r="V55" s="2"/>
    </row>
    <row r="56" customFormat="false" ht="25.5" hidden="false" customHeight="true" outlineLevel="0" collapsed="false">
      <c r="A56" s="2"/>
      <c r="B56" s="136"/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2"/>
      <c r="P56" s="2"/>
      <c r="Q56" s="2"/>
      <c r="R56" s="2"/>
      <c r="S56" s="2"/>
      <c r="T56" s="2"/>
      <c r="U56" s="2"/>
      <c r="V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customFormat="false" ht="15" hidden="false" customHeight="true" outlineLevel="0" collapsed="false">
      <c r="A58" s="2"/>
      <c r="B58" s="137" t="s">
        <v>145</v>
      </c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2"/>
      <c r="P58" s="2"/>
      <c r="Q58" s="2"/>
      <c r="R58" s="2"/>
      <c r="S58" s="2"/>
      <c r="T58" s="2"/>
      <c r="U58" s="2"/>
      <c r="V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customFormat="false" ht="1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customFormat="false" ht="1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customFormat="false" ht="1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customFormat="false" ht="1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customFormat="false" ht="1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customFormat="false" ht="1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customFormat="false" ht="1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customFormat="false" ht="1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customFormat="false" ht="1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customFormat="false" ht="1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customFormat="false" ht="1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customFormat="false" ht="1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customFormat="false" ht="1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customFormat="false" ht="1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customFormat="false" ht="1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customFormat="false" ht="1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customFormat="false" ht="1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customFormat="false" ht="1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customFormat="false" ht="1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customFormat="false" ht="1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customFormat="false" ht="1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customFormat="false" ht="1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customFormat="false" ht="1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customFormat="false" ht="1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customFormat="false" ht="1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customFormat="false" ht="1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customFormat="false" ht="1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customFormat="false" ht="1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customFormat="false" ht="1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customFormat="false" ht="1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customFormat="false" ht="1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customFormat="false" ht="1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customFormat="false" ht="1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customFormat="false" ht="1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customFormat="false" ht="1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customFormat="false" ht="1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customFormat="false" ht="1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customFormat="false" ht="1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customFormat="false" ht="1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customFormat="false" ht="1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customFormat="false" ht="1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customFormat="false" ht="1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customFormat="false" ht="1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customFormat="false" ht="1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customFormat="false" ht="1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customFormat="false" ht="1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customFormat="false" ht="1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customFormat="false" ht="1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customFormat="false" ht="1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customFormat="false" ht="1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customFormat="false" ht="1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customFormat="false" ht="1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customFormat="false" ht="1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customFormat="false" ht="1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customFormat="false" ht="1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customFormat="false" ht="1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customFormat="false" ht="1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customFormat="false" ht="1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customFormat="false" ht="1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customFormat="false" ht="1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customFormat="false" ht="1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customFormat="false" ht="1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customFormat="false" ht="1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customFormat="false" ht="1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customFormat="false" ht="1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customFormat="false" ht="1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customFormat="false" ht="1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customFormat="false" ht="1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customFormat="false" ht="1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customFormat="false" ht="1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customFormat="false" ht="1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customFormat="false" ht="1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customFormat="false" ht="1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customFormat="false" ht="1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customFormat="false" ht="1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customFormat="false" ht="1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customFormat="false" ht="1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customFormat="false" ht="1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customFormat="false" ht="1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customFormat="false" ht="1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customFormat="false" ht="1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customFormat="false" ht="1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customFormat="false" ht="1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customFormat="false" ht="1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customFormat="false" ht="1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customFormat="false" ht="1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customFormat="false" ht="1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customFormat="false" ht="1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customFormat="false" ht="1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customFormat="false" ht="1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customFormat="false" ht="1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customFormat="false" ht="1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customFormat="false" ht="1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customFormat="false" ht="1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customFormat="false" ht="1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customFormat="false" ht="1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customFormat="false" ht="1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customFormat="false" ht="1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</sheetData>
  <mergeCells count="91">
    <mergeCell ref="B2:N2"/>
    <mergeCell ref="B3:N3"/>
    <mergeCell ref="B4:N4"/>
    <mergeCell ref="B5:D5"/>
    <mergeCell ref="E5:G5"/>
    <mergeCell ref="H5:J5"/>
    <mergeCell ref="K5:M5"/>
    <mergeCell ref="B6:D6"/>
    <mergeCell ref="E6:G6"/>
    <mergeCell ref="H6:J6"/>
    <mergeCell ref="K6:M6"/>
    <mergeCell ref="B8:D8"/>
    <mergeCell ref="E8:G8"/>
    <mergeCell ref="H8:J8"/>
    <mergeCell ref="B9:D9"/>
    <mergeCell ref="E9:G9"/>
    <mergeCell ref="H9:J9"/>
    <mergeCell ref="B11:N11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C19:D19"/>
    <mergeCell ref="E19:F19"/>
    <mergeCell ref="G19:H19"/>
    <mergeCell ref="I19:J19"/>
    <mergeCell ref="C20:D20"/>
    <mergeCell ref="E20:F20"/>
    <mergeCell ref="G20:H20"/>
    <mergeCell ref="I20:J20"/>
    <mergeCell ref="C21:D21"/>
    <mergeCell ref="E21:F21"/>
    <mergeCell ref="G21:H21"/>
    <mergeCell ref="I21:J21"/>
    <mergeCell ref="C22:D22"/>
    <mergeCell ref="E22:F22"/>
    <mergeCell ref="G22:H22"/>
    <mergeCell ref="I22:J22"/>
    <mergeCell ref="C23:D23"/>
    <mergeCell ref="E23:F23"/>
    <mergeCell ref="G23:H23"/>
    <mergeCell ref="I23:J23"/>
    <mergeCell ref="C24:D24"/>
    <mergeCell ref="E24:F24"/>
    <mergeCell ref="G24:H24"/>
    <mergeCell ref="I24:J24"/>
    <mergeCell ref="B26:N26"/>
    <mergeCell ref="B27:D27"/>
    <mergeCell ref="E27:G27"/>
    <mergeCell ref="H27:J27"/>
    <mergeCell ref="K27:M27"/>
    <mergeCell ref="B28:D29"/>
    <mergeCell ref="E28:G29"/>
    <mergeCell ref="H28:J29"/>
    <mergeCell ref="K28:M29"/>
    <mergeCell ref="B32:D32"/>
    <mergeCell ref="E32:G32"/>
    <mergeCell ref="H32:J32"/>
    <mergeCell ref="K32:M32"/>
    <mergeCell ref="B33:D34"/>
    <mergeCell ref="E33:G34"/>
    <mergeCell ref="H33:J34"/>
    <mergeCell ref="K33:M34"/>
    <mergeCell ref="B36:N36"/>
    <mergeCell ref="B53:N53"/>
    <mergeCell ref="B54:N56"/>
    <mergeCell ref="B58:N58"/>
  </mergeCells>
  <conditionalFormatting sqref="C20:J20">
    <cfRule type="expression" priority="2" aboveAverage="0" equalAverage="0" bottom="0" percent="0" rank="0" text="" dxfId="0">
      <formula>C20&lt;0</formula>
    </cfRule>
  </conditionalFormatting>
  <printOptions headings="false" gridLines="false" gridLinesSet="true" horizontalCentered="false" verticalCentered="false"/>
  <pageMargins left="0.2" right="0.2" top="0.3" bottom="0.3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2026-06-30T08:52:01Z</dcterms:created>
  <dc:creator>openpyxl</dc:creator>
  <dc:description/>
  <dc:language>en-US</dc:language>
  <cp:lastModifiedBy/>
  <dcterms:modified xsi:type="dcterms:W3CDTF">2026-06-30T09:00:18Z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