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style2.xml" ContentType="application/vnd.ms-office.chartstyle+xml"/>
  <Override PartName="/xl/charts/chart2.xml" ContentType="application/vnd.openxmlformats-officedocument.drawingml.chart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rench (source)" sheetId="1" state="visible" r:id="rId3"/>
    <sheet name="Longevity (source)" sheetId="2" state="visible" r:id="rId4"/>
    <sheet name="July · Rep Behaviour" sheetId="3" state="visible" r:id="rId5"/>
    <sheet name="July · 4-Way Lead Plan" sheetId="4" state="visible" r:id="rId6"/>
    <sheet name="July · Budget Options" sheetId="5" state="visible" r:id="rId7"/>
  </sheets>
  <definedNames>
    <definedName function="false" hidden="false" localSheetId="3" name="_xlnm.Print_Area" vbProcedure="false">'July · 4-Way Lead Plan'!$B$1:$N$60</definedName>
    <definedName function="false" hidden="false" localSheetId="4" name="_xlnm.Print_Area" vbProcedure="false">'July · Budget Options'!$B$1:$M$56</definedName>
    <definedName function="false" hidden="false" localSheetId="2" name="_xlnm.Print_Area" vbProcedure="false">'July · Rep Behaviour'!$B$1:$T$89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<sst xmlns="http://schemas.openxmlformats.org/spreadsheetml/2006/main" count="271" uniqueCount="191">
  <si>
    <t xml:space="preserve">FRENCH ATELIER</t>
  </si>
  <si>
    <t xml:space="preserve">Source pivot · 8 reps · 16 shift-days (3-week period)</t>
  </si>
  <si>
    <t xml:space="preserve">EmployeeName</t>
  </si>
  <si>
    <t xml:space="preserve">Acqs</t>
  </si>
  <si>
    <t xml:space="preserve">Contacted</t>
  </si>
  <si>
    <t xml:space="preserve">% Acqs/Cont</t>
  </si>
  <si>
    <t xml:space="preserve">Calls</t>
  </si>
  <si>
    <t xml:space="preserve">Calls per Contacted</t>
  </si>
  <si>
    <t xml:space="preserve">%Cont/Calls</t>
  </si>
  <si>
    <t xml:space="preserve">Retries</t>
  </si>
  <si>
    <t xml:space="preserve">Retries per Contacted</t>
  </si>
  <si>
    <t xml:space="preserve">Contract Price</t>
  </si>
  <si>
    <t xml:space="preserve">Azizi Malek</t>
  </si>
  <si>
    <t xml:space="preserve">Delacroix Jean</t>
  </si>
  <si>
    <t xml:space="preserve">Durand Adam</t>
  </si>
  <si>
    <t xml:space="preserve">Levite Eric</t>
  </si>
  <si>
    <t xml:space="preserve">Levy Marc</t>
  </si>
  <si>
    <t xml:space="preserve">Mokla Sara</t>
  </si>
  <si>
    <t xml:space="preserve">Mourabit Maryam</t>
  </si>
  <si>
    <t xml:space="preserve">Petit Anais</t>
  </si>
  <si>
    <t xml:space="preserve">Grand Total</t>
  </si>
  <si>
    <t xml:space="preserve">LONGEVITY</t>
  </si>
  <si>
    <t xml:space="preserve">Source pivot · 4 reps · 15 working days (3-week period)</t>
  </si>
  <si>
    <t xml:space="preserve">%Contacted/Calls</t>
  </si>
  <si>
    <t xml:space="preserve">Moustaid Vicky</t>
  </si>
  <si>
    <t xml:space="preserve">Rivoira Biani Victoria</t>
  </si>
  <si>
    <t xml:space="preserve">Rostiashvili Gvantsa</t>
  </si>
  <si>
    <t xml:space="preserve">N/A</t>
  </si>
  <si>
    <t xml:space="preserve">Sanchez Victoria</t>
  </si>
  <si>
    <t xml:space="preserve">JULY PLANNING — REP BEHAVIOUR INTELLIGENCE</t>
  </si>
  <si>
    <t xml:space="preserve">French Atelier vs Longevity · what the profitable team does differently · the lever is CONTACTED VOLUME per shift — not conversion rates</t>
  </si>
  <si>
    <t xml:space="preserve">French: 8 reps · 16 shift-days  |  Longevity: 4 reps · 15 working days  |  Team size &amp; roster are FIXED — we change behaviour, not headcount</t>
  </si>
  <si>
    <t xml:space="preserve">THE BOTTOM LINE AT A GLANCE</t>
  </si>
  <si>
    <t xml:space="preserve">FRENCH REVENUE</t>
  </si>
  <si>
    <t xml:space="preserve">LONGEVITY REVENUE</t>
  </si>
  <si>
    <t xml:space="preserve">FRENCH CONTACTED</t>
  </si>
  <si>
    <t xml:space="preserve">LONGEVITY CONTACTED</t>
  </si>
  <si>
    <t xml:space="preserve">CONTACTED / REP / DAY</t>
  </si>
  <si>
    <t xml:space="preserve">4.33  vs  5.85</t>
  </si>
  <si>
    <t xml:space="preserve">8 reps · 16 days</t>
  </si>
  <si>
    <t xml:space="preserve">4 reps · 15 days</t>
  </si>
  <si>
    <t xml:space="preserve">the hero metric</t>
  </si>
  <si>
    <t xml:space="preserve">French vs Longevity</t>
  </si>
  <si>
    <t xml:space="preserve">SCHOOL VS SCHOOL — NORMALISED BEHAVIOUR</t>
  </si>
  <si>
    <t xml:space="preserve">Metric</t>
  </si>
  <si>
    <t xml:space="preserve">French</t>
  </si>
  <si>
    <t xml:space="preserve">Longevity</t>
  </si>
  <si>
    <t xml:space="preserve">Gap (F−L)</t>
  </si>
  <si>
    <t xml:space="preserve">Read</t>
  </si>
  <si>
    <t xml:space="preserve">Total Contacted (period)</t>
  </si>
  <si>
    <t xml:space="preserve">French contacts 58% more leads</t>
  </si>
  <si>
    <t xml:space="preserve">Contacted / rep / day</t>
  </si>
  <si>
    <t xml:space="preserve">French contacts 58% more in total with 2x the team — the volume engine that funds $68.6K.</t>
  </si>
  <si>
    <t xml:space="preserve">Total Calls (period)</t>
  </si>
  <si>
    <t xml:space="preserve">Longevity ALREADY contacts more per shift (5.85 vs 4.33) — yet earns 79x less. Raw contacted ≠ value.</t>
  </si>
  <si>
    <t xml:space="preserve">Calls / rep / day</t>
  </si>
  <si>
    <t xml:space="preserve">Longevity makes 55% MORE calls per shift</t>
  </si>
  <si>
    <t xml:space="preserve">Longevity burns 14+ extra dials to reach 1 person</t>
  </si>
  <si>
    <t xml:space="preserve">Contact rate (%Cont/Calls)</t>
  </si>
  <si>
    <t xml:space="preserve">French connects ~22% more efficiently</t>
  </si>
  <si>
    <t xml:space="preserve">Retries (period)</t>
  </si>
  <si>
    <t xml:space="preserve">Longevity grinds retries on a smaller base</t>
  </si>
  <si>
    <t xml:space="preserve">Longevity needs ~40% more retries per contact</t>
  </si>
  <si>
    <t xml:space="preserve">Acqs (period)</t>
  </si>
  <si>
    <t xml:space="preserve">Volume of contacted is what fuels acqs</t>
  </si>
  <si>
    <t xml:space="preserve">Revenue per Acq</t>
  </si>
  <si>
    <t xml:space="preserve">French acq is worth ~20% more</t>
  </si>
  <si>
    <t xml:space="preserve">Revenue / rep / day</t>
  </si>
  <si>
    <t xml:space="preserve">French rep earns ~79x per shift</t>
  </si>
  <si>
    <t xml:space="preserve">FRENCH ATELIER — PER-REP CONTRIBUTION  (ranked by Contacted, the hero metric)</t>
  </si>
  <si>
    <t xml:space="preserve">Rep</t>
  </si>
  <si>
    <t xml:space="preserve">Cont/Day</t>
  </si>
  <si>
    <t xml:space="preserve">Contrib %</t>
  </si>
  <si>
    <t xml:space="preserve">Calls/Cont</t>
  </si>
  <si>
    <t xml:space="preserve">Contact Rate</t>
  </si>
  <si>
    <t xml:space="preserve">Retries/Cont</t>
  </si>
  <si>
    <t xml:space="preserve">Revenue</t>
  </si>
  <si>
    <t xml:space="preserve">Rev Share</t>
  </si>
  <si>
    <t xml:space="preserve">LONGEVITY — PER-REP CONTRIBUTION  (ranked by Contacted, the hero metric)</t>
  </si>
  <si>
    <t xml:space="preserve">FA REP EFFICIENCY STANDARDS IN LNGVTY — WHAT DOES IT MEAN?</t>
  </si>
  <si>
    <t xml:space="preserve">It means holding every Longevity rep to the French Atelier (FA) benchmark on the behaviours that actually move money: how many calls it takes to reach one person, how many people they reach per day, and how many retries they waste. Longevity reps DIAL more but CONNECT worse — they are inferior on calls-per-contact, contact rate, and retry discipline. Same team, Mon–Fri, no weekends: we fix behaviour to the FA standard, not headcount.</t>
  </si>
  <si>
    <t xml:space="preserve">Efficiency metric</t>
  </si>
  <si>
    <t xml:space="preserve">FA Standard (target)</t>
  </si>
  <si>
    <t xml:space="preserve">Lngvty now</t>
  </si>
  <si>
    <t xml:space="preserve">Gap</t>
  </si>
  <si>
    <t xml:space="preserve">What it means</t>
  </si>
  <si>
    <t xml:space="preserve">Calls to reach 1 contact</t>
  </si>
  <si>
    <t xml:space="preserve">Lngvty wastes ~3 extra dials per contact — worse list/targeting.</t>
  </si>
  <si>
    <t xml:space="preserve">Lngvty connects on fewer calls — inferior dialing windows &amp; quality.</t>
  </si>
  <si>
    <t xml:space="preserve">Retries per contact</t>
  </si>
  <si>
    <t xml:space="preserve">Lngvty over-retries by ~29% — grinding dead leads instead of fresh ones.</t>
  </si>
  <si>
    <t xml:space="preserve">Volume per shift is OK — the problem is efficiency, not effort.</t>
  </si>
  <si>
    <t xml:space="preserve">Lngvty dials 55% harder for similar contacted — pure wasted effort.</t>
  </si>
  <si>
    <t xml:space="preserve">LONGEVITY — ACTION PLAN PER REP  (fixed team · Mon–Fri · no weekends)</t>
  </si>
  <si>
    <t xml:space="preserve">ROSTIASHVILI GVANTSA</t>
  </si>
  <si>
    <t xml:space="preserve">HOLD volume, MEASURE everything</t>
  </si>
  <si>
    <t xml:space="preserve">NOW:  Top contacted/day (6.5) — the team's volume leader. Call data missing → instrument tracking immediately.</t>
  </si>
  <si>
    <t xml:space="preserve">• Log calls &amp; retries from day 1 (currently untracked).
• Protect the 6.5 contacted/day — she is the benchmark to clone.
• Once calls tracked, push calls/contact toward FA's 21.</t>
  </si>
  <si>
    <t xml:space="preserve">MOUSTAID VICKY</t>
  </si>
  <si>
    <t xml:space="preserve">CUT calls-per-contact ~40%</t>
  </si>
  <si>
    <t xml:space="preserve">NOW:  Strong volume (5.1 contacted/day) but 35 calls per contact vs FA's 21 — over-dialing.</t>
  </si>
  <si>
    <t xml:space="preserve">• Tighten lead targeting; stop low-yield numbers early.
• Cap retries near FA's 15.8 (now 20.5).
• Same contacted on far fewer dials → freed time for more contacts.</t>
  </si>
  <si>
    <t xml:space="preserve">RIVOIRA BIANI VICTORIA</t>
  </si>
  <si>
    <t xml:space="preserve">REBUILD dialing discipline — priority #1</t>
  </si>
  <si>
    <t xml:space="preserve">NOW:  WORST efficiency: 44 calls/contact, 2.26% contact rate, 29.5 retries/contact. Dials hardest, connects least.</t>
  </si>
  <si>
    <t xml:space="preserve">• Shadow Rostiashvili's call windows &amp; cadence.
• Hard-cap retries at 16; drop dead leads fast.
• Target: contact rate 2.3% → 4.7%, calls/contact 44 → ~25.</t>
  </si>
  <si>
    <t xml:space="preserve">SANCHEZ VICTORIA</t>
  </si>
  <si>
    <t xml:space="preserve">RAISE volume floor + fix efficiency</t>
  </si>
  <si>
    <t xml:space="preserve">NOW:  Lowest contacted/day (2.8) AND 36 calls/contact — lagging on BOTH volume and efficiency.</t>
  </si>
  <si>
    <t xml:space="preserve">• Lift contacted/day 2.8 → 4.3+ (FA floor) via more active dialing hours.
• Cut calls/contact 36 → ~25 with better lists.
• Daily check-in until contacted/day hits the FA standard.</t>
  </si>
  <si>
    <t xml:space="preserve">THE BOTTOM LINE</t>
  </si>
  <si>
    <t xml:space="preserve">Longevity's reps are NOT short on effort — they out-dial French by 55%. They are short on EFFICIENCY: it takes them 24 calls and 20 retries to reach one person vs French's 21 and 16. Hold all four to the FA standard — Rostiashvili's volume, French's calls-per-contact and retry caps — and the SAME Mon–Fri team reaches more people per shift with less wasted dialing. Efficiency is the lever, not headcount.</t>
  </si>
  <si>
    <t xml:space="preserve">JULY 4-WAY INTERSECT — LEAD COUNT × EFFICIENCY × SPEND × ROAS</t>
  </si>
  <si>
    <t xml:space="preserve">Optimal lead plan for Longevity · drive CONTACTED per shift up · 2.5% acq-to-contacted · break-even Wk1 → escalating ROAS by Wk4</t>
  </si>
  <si>
    <t xml:space="preserve">MODEL ASSUMPTIONS  (edit these — the whole plan recalculates)</t>
  </si>
  <si>
    <t xml:space="preserve">Lead cost ($)</t>
  </si>
  <si>
    <t xml:space="preserve">Revenue per acquisition ($)</t>
  </si>
  <si>
    <t xml:space="preserve">Acq rate (acq ÷ contacted)</t>
  </si>
  <si>
    <t xml:space="preserve">Contacted per lead — Wk1</t>
  </si>
  <si>
    <t xml:space="preserve">Contacted per lead — Wk2</t>
  </si>
  <si>
    <t xml:space="preserve">Contacted per lead — Wk3</t>
  </si>
  <si>
    <t xml:space="preserve">Contacted per lead — Wk4</t>
  </si>
  <si>
    <t xml:space="preserve">WEEKLY PLAN — BACK-SOLVED FROM TARGETS</t>
  </si>
  <si>
    <t xml:space="preserve">WEEK 1</t>
  </si>
  <si>
    <t xml:space="preserve">WEEK 2</t>
  </si>
  <si>
    <t xml:space="preserve">WEEK 3</t>
  </si>
  <si>
    <t xml:space="preserve">WEEK 4</t>
  </si>
  <si>
    <t xml:space="preserve">Ad spend ($) — mandate midpoint</t>
  </si>
  <si>
    <t xml:space="preserve">Leads bought  (= spend ÷ $/lead)</t>
  </si>
  <si>
    <t xml:space="preserve">Contacted per lead  (efficiency ramp)</t>
  </si>
  <si>
    <t xml:space="preserve">CONTACTED  (the hero metric)</t>
  </si>
  <si>
    <t xml:space="preserve">Contacted / rep-shift  (4 reps × 5 days)</t>
  </si>
  <si>
    <t xml:space="preserve">SALES  (= contacted × 2.5%)</t>
  </si>
  <si>
    <t xml:space="preserve">Revenue ($)  (= sales × $/acq)</t>
  </si>
  <si>
    <t xml:space="preserve">Profit ($)  (= revenue − spend)</t>
  </si>
  <si>
    <t xml:space="preserve">ROAS  (= revenue ÷ spend)</t>
  </si>
  <si>
    <t xml:space="preserve">Cost per acquisition ($)  (= spend ÷ sales)</t>
  </si>
  <si>
    <t xml:space="preserve">Target sales band</t>
  </si>
  <si>
    <t xml:space="preserve">5 – 7</t>
  </si>
  <si>
    <t xml:space="preserve">6 – 8</t>
  </si>
  <si>
    <t xml:space="preserve">7 – 9</t>
  </si>
  <si>
    <t xml:space="preserve">8 – 11</t>
  </si>
  <si>
    <t xml:space="preserve">Spend mandate ($)</t>
  </si>
  <si>
    <t xml:space="preserve">5k – 8k</t>
  </si>
  <si>
    <t xml:space="preserve">8k – 10k</t>
  </si>
  <si>
    <t xml:space="preserve">≈8k+</t>
  </si>
  <si>
    <t xml:space="preserve">JULY MONTH ROLLUP</t>
  </si>
  <si>
    <t xml:space="preserve">Week</t>
  </si>
  <si>
    <t xml:space="preserve">ROAS</t>
  </si>
  <si>
    <t xml:space="preserve">Profit</t>
  </si>
  <si>
    <t xml:space="preserve">TOTAL SPEND</t>
  </si>
  <si>
    <t xml:space="preserve">TOTAL SALES</t>
  </si>
  <si>
    <t xml:space="preserve">TOTAL REVENUE</t>
  </si>
  <si>
    <t xml:space="preserve">TOTAL PROFIT</t>
  </si>
  <si>
    <t xml:space="preserve">Wk1</t>
  </si>
  <si>
    <t xml:space="preserve">Wk2</t>
  </si>
  <si>
    <t xml:space="preserve">Wk3</t>
  </si>
  <si>
    <t xml:space="preserve">Wk4</t>
  </si>
  <si>
    <t xml:space="preserve">BLENDED ROAS</t>
  </si>
  <si>
    <t xml:space="preserve">TOTAL CONTACTED</t>
  </si>
  <si>
    <t xml:space="preserve">TOTAL LEADS</t>
  </si>
  <si>
    <t xml:space="preserve">BLENDED CPA</t>
  </si>
  <si>
    <t xml:space="preserve">THE RAMP — CONTACTED VOLUME &amp; ROAS CLIMB WEEK OVER WEEK</t>
  </si>
  <si>
    <t xml:space="preserve">July is won on CONTACTED VOLUME, not close rate. Hold the 2.5% acq-to-contacted floor, push contacted-per-rep-shift UP every week (12 → 21), and spend climbs from break-even ($6.5K, 1.02x) to a profitable 1.36x by Week 4. Net July: ~$6.1K profit on a rising ROAS ladder — with the SAME 4 reps. Feed them more contactable leads and coach French's dialing discipline; the model does the rest.</t>
  </si>
  <si>
    <t xml:space="preserve">Source: French (by-Rep-pivot-41) &amp; Longevity (excel-longebity-reps) pivots · 3-week window (French 16 shift-days, Longevity 15 working days) · Generated 2026-06-30 · All figures live formulas — edit assumptions to re-solve.</t>
  </si>
  <si>
    <t xml:space="preserve">JULY BUDGET OPTIONS — CHEAPER LEADS, HIGHER ROAS</t>
  </si>
  <si>
    <t xml:space="preserve">Two flat-spend scenarios vs the $22/lead base plan · same engine: 2.5% acq-to-contacted · $1,100 rev/acq · contacted ramp Wk1→Wk4</t>
  </si>
  <si>
    <t xml:space="preserve">Cheaper leads buy more volume per dollar — same reps, Mon–Fri, no weekends. Both options run profitable from Week 1.</t>
  </si>
  <si>
    <t xml:space="preserve">SHARED ASSUMPTIONS</t>
  </si>
  <si>
    <t xml:space="preserve">Revenue per acq ($)</t>
  </si>
  <si>
    <t xml:space="preserve">Contacted-per-lead ramp</t>
  </si>
  <si>
    <t xml:space="preserve">0.81→1.09</t>
  </si>
  <si>
    <t xml:space="preserve">LOW BUDGETS  —  $6,500 / week · $17 per lead</t>
  </si>
  <si>
    <t xml:space="preserve">Flat $6.5K weekly at a cheaper $17 lead cost → more leads per dollar, strong positive ROAS every week.</t>
  </si>
  <si>
    <t xml:space="preserve">Weekly spend ($)</t>
  </si>
  <si>
    <t xml:space="preserve">Cost per lead ($)</t>
  </si>
  <si>
    <t xml:space="preserve">Ad spend ($)</t>
  </si>
  <si>
    <t xml:space="preserve">Leads bought (= spend ÷ $/lead)</t>
  </si>
  <si>
    <t xml:space="preserve">Contacted per lead (ramp)</t>
  </si>
  <si>
    <t xml:space="preserve">CONTACTED (hero metric)</t>
  </si>
  <si>
    <t xml:space="preserve">Contacted / rep-shift (4×5 days)</t>
  </si>
  <si>
    <t xml:space="preserve">SALES (= contacted × acq rate)</t>
  </si>
  <si>
    <t xml:space="preserve">Revenue ($)</t>
  </si>
  <si>
    <t xml:space="preserve">Profit ($) (= revenue − spend)</t>
  </si>
  <si>
    <t xml:space="preserve">ROAS (= revenue ÷ spend)</t>
  </si>
  <si>
    <t xml:space="preserve">Cost per acquisition ($)</t>
  </si>
  <si>
    <t xml:space="preserve">LOW BUDGETS — MONTH ROLLUP</t>
  </si>
  <si>
    <t xml:space="preserve">SUPER LOW COST  —  $5,000 / week · $15 per lead</t>
  </si>
  <si>
    <t xml:space="preserve">Leanest scenario: $5K weekly at $15 leads → highest ROAS of all options, fully profitable from Week 1.</t>
  </si>
  <si>
    <t xml:space="preserve">SUPER LOW COST — MONTH ROLLUP</t>
  </si>
  <si>
    <t xml:space="preserve">Cheaper leads are the single fastest path to profit. Dropping lead cost from $22 → $17 turns the same $6.5K/week into ~1.5x blended ROAS (~$14K July profit); $15 leads at just $5K/week deliver the HIGHEST efficiency at ~1.7x ROAS (~$15K profit) on the lowest cash outlay. Both keep the contacted-per-shift ramp (≈15 → 21) — so the lever is unchanged: negotiate lead cost down and push contacted volume up, with the same Mon–Fri team.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</si>
</sst>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.0%"/>
    <numFmt numFmtId="167" formatCode="0.0"/>
    <numFmt numFmtId="168" formatCode="0.00%"/>
    <numFmt numFmtId="169" formatCode="\$#,##0"/>
    <numFmt numFmtId="170" formatCode="0.00"/>
    <numFmt numFmtId="171" formatCode="0.00\x"/>
  </numFmts>
  <fonts count="6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5F5F7"/>
      <name val="Calibri"/>
      <family val="0"/>
      <charset val="1"/>
    </font>
    <font>
      <sz val="11"/>
      <color rgb="FF9A9AA5"/>
      <name val="Calibri"/>
      <family val="0"/>
      <charset val="1"/>
    </font>
    <font>
      <b val="true"/>
      <sz val="10"/>
      <color rgb="FF2DD4BF"/>
      <name val="Calibri"/>
      <family val="0"/>
      <charset val="1"/>
    </font>
    <font>
      <b val="true"/>
      <sz val="10"/>
      <color rgb="FFF5F5F7"/>
      <name val="Calibri"/>
      <family val="0"/>
      <charset val="1"/>
    </font>
    <font>
      <sz val="10"/>
      <color rgb="FFF5F5F7"/>
      <name val="Calibri"/>
      <family val="0"/>
      <charset val="1"/>
    </font>
    <font>
      <b val="true"/>
      <sz val="10"/>
      <color rgb="FFFFCC55"/>
      <name val="Calibri"/>
      <family val="0"/>
      <charset val="1"/>
    </font>
    <font>
      <b val="true"/>
      <sz val="10"/>
      <color rgb="FFFF6B6B"/>
      <name val="Calibri"/>
      <family val="0"/>
      <charset val="1"/>
    </font>
    <font>
      <b val="true"/>
      <sz val="26"/>
      <color rgb="FFF5F5F7"/>
      <name val="Calibri"/>
      <family val="0"/>
      <charset val="1"/>
    </font>
    <font>
      <sz val="11"/>
      <color rgb="FF2DD4BF"/>
      <name val="Calibri"/>
      <family val="0"/>
      <charset val="1"/>
    </font>
    <font>
      <sz val="10"/>
      <color rgb="FF9A9AA5"/>
      <name val="Calibri"/>
      <family val="0"/>
      <charset val="1"/>
    </font>
    <font>
      <b val="true"/>
      <sz val="12"/>
      <color rgb="FFFFCC55"/>
      <name val="Calibri"/>
      <family val="0"/>
      <charset val="1"/>
    </font>
    <font>
      <b val="true"/>
      <sz val="9"/>
      <color rgb="FF5AA9FF"/>
      <name val="Calibri"/>
      <family val="0"/>
      <charset val="1"/>
    </font>
    <font>
      <b val="true"/>
      <sz val="9"/>
      <color rgb="FFFF6B6B"/>
      <name val="Calibri"/>
      <family val="0"/>
      <charset val="1"/>
    </font>
    <font>
      <b val="true"/>
      <sz val="9"/>
      <color rgb="FFFFCC55"/>
      <name val="Calibri"/>
      <family val="0"/>
      <charset val="1"/>
    </font>
    <font>
      <b val="true"/>
      <sz val="18"/>
      <color rgb="FFF5F5F7"/>
      <name val="Calibri"/>
      <family val="0"/>
      <charset val="1"/>
    </font>
    <font>
      <sz val="9"/>
      <color rgb="FF9A9AA5"/>
      <name val="Calibri"/>
      <family val="0"/>
      <charset val="1"/>
    </font>
    <font>
      <b val="true"/>
      <sz val="13"/>
      <color rgb="FF2DD4BF"/>
      <name val="Calibri"/>
      <family val="0"/>
      <charset val="1"/>
    </font>
    <font>
      <b val="true"/>
      <sz val="11"/>
      <color rgb="FF5AA9FF"/>
      <name val="Calibri"/>
      <family val="0"/>
      <charset val="1"/>
    </font>
    <font>
      <b val="true"/>
      <sz val="11"/>
      <color rgb="FFFF6B6B"/>
      <name val="Calibri"/>
      <family val="0"/>
      <charset val="1"/>
    </font>
    <font>
      <b val="true"/>
      <sz val="10"/>
      <color rgb="FF9A9AA5"/>
      <name val="Calibri"/>
      <family val="0"/>
      <charset val="1"/>
    </font>
    <font>
      <i val="true"/>
      <sz val="10"/>
      <color rgb="FF9A9AA5"/>
      <name val="Calibri"/>
      <family val="0"/>
      <charset val="1"/>
    </font>
    <font>
      <b val="true"/>
      <sz val="13"/>
      <color rgb="FF5AA9FF"/>
      <name val="Calibri"/>
      <family val="0"/>
      <charset val="1"/>
    </font>
    <font>
      <b val="true"/>
      <sz val="9"/>
      <color rgb="FFF5F5F7"/>
      <name val="Calibri"/>
      <family val="0"/>
      <charset val="1"/>
    </font>
    <font>
      <b val="true"/>
      <sz val="13"/>
      <color rgb="FFFF6B6B"/>
      <name val="Calibri"/>
      <family val="0"/>
      <charset val="1"/>
    </font>
    <font>
      <sz val="11"/>
      <color rgb="FFF5F5F7"/>
      <name val="Calibri"/>
      <family val="0"/>
      <charset val="1"/>
    </font>
    <font>
      <b val="true"/>
      <sz val="20"/>
      <color rgb="FFFFCC55"/>
      <name val="Calibri"/>
      <family val="0"/>
      <charset val="1"/>
    </font>
    <font>
      <sz val="12"/>
      <color rgb="FFF5F5F7"/>
      <name val="Calibri"/>
      <family val="0"/>
      <charset val="1"/>
    </font>
    <font>
      <b val="true"/>
      <sz val="11"/>
      <color rgb="FFF5F5F7"/>
      <name val="Calibri"/>
      <family val="0"/>
      <charset val="1"/>
    </font>
    <font>
      <b val="true"/>
      <sz val="12"/>
      <color rgb="FF5AA9FF"/>
      <name val="Calibri"/>
      <family val="0"/>
      <charset val="1"/>
    </font>
    <font>
      <b val="true"/>
      <sz val="12"/>
      <color rgb="FFFF6B6B"/>
      <name val="Calibri"/>
      <family val="0"/>
      <charset val="1"/>
    </font>
    <font>
      <b val="true"/>
      <sz val="11"/>
      <color rgb="FF5BD46B"/>
      <name val="Calibri"/>
      <family val="0"/>
      <charset val="1"/>
    </font>
    <font>
      <b val="true"/>
      <sz val="18"/>
      <color rgb="FFFF6B6B"/>
      <name val="Calibri"/>
      <family val="0"/>
      <charset val="1"/>
    </font>
    <font>
      <b val="true"/>
      <sz val="13"/>
      <color rgb="FF5BD46B"/>
      <name val="Calibri"/>
      <family val="0"/>
      <charset val="1"/>
    </font>
    <font>
      <b val="true"/>
      <sz val="12"/>
      <color rgb="FF5BD46B"/>
      <name val="Calibri"/>
      <family val="0"/>
      <charset val="1"/>
    </font>
    <font>
      <b val="true"/>
      <sz val="13"/>
      <color rgb="FFFFCC55"/>
      <name val="Calibri"/>
      <family val="0"/>
      <charset val="1"/>
    </font>
    <font>
      <b val="true"/>
      <sz val="14"/>
      <color rgb="FFFFCC55"/>
      <name val="Calibri"/>
      <family val="0"/>
      <charset val="1"/>
    </font>
    <font>
      <b val="true"/>
      <sz val="24"/>
      <color rgb="FFF5F5F7"/>
      <name val="Calibri"/>
      <family val="0"/>
      <charset val="1"/>
    </font>
    <font>
      <b val="true"/>
      <sz val="16"/>
      <color rgb="FFF5F5F7"/>
      <name val="Calibri"/>
      <family val="0"/>
      <charset val="1"/>
    </font>
    <font>
      <b val="true"/>
      <sz val="14"/>
      <color rgb="FF2DD4BF"/>
      <name val="Calibri"/>
      <family val="0"/>
      <charset val="1"/>
    </font>
    <font>
      <b val="true"/>
      <sz val="11"/>
      <color rgb="FFFFCC55"/>
      <name val="Calibri"/>
      <family val="0"/>
      <charset val="1"/>
    </font>
    <font>
      <sz val="10"/>
      <color rgb="FF2DD4BF"/>
      <name val="Calibri"/>
      <family val="0"/>
      <charset val="1"/>
    </font>
    <font>
      <b val="true"/>
      <sz val="10"/>
      <color rgb="FF5AA9FF"/>
      <name val="Calibri"/>
      <family val="0"/>
      <charset val="1"/>
    </font>
    <font>
      <b val="true"/>
      <sz val="10"/>
      <color rgb="FF5BD46B"/>
      <name val="Calibri"/>
      <family val="0"/>
      <charset val="1"/>
    </font>
    <font>
      <b val="true"/>
      <sz val="11"/>
      <color rgb="FF2DD4BF"/>
      <name val="Calibri"/>
      <family val="0"/>
      <charset val="1"/>
    </font>
    <font>
      <sz val="8"/>
      <color rgb="FF0A0A0F"/>
      <name val="Calibri"/>
      <family val="0"/>
      <charset val="1"/>
    </font>
    <font>
      <b val="true"/>
      <sz val="9"/>
      <color rgb="FF5BD46B"/>
      <name val="Calibri"/>
      <family val="0"/>
      <charset val="1"/>
    </font>
    <font>
      <b val="true"/>
      <sz val="20"/>
      <color rgb="FFF5F5F7"/>
      <name val="Calibri"/>
      <family val="0"/>
      <charset val="1"/>
    </font>
    <font>
      <b val="true"/>
      <sz val="9"/>
      <color rgb="FF2DD4BF"/>
      <name val="Calibri"/>
      <family val="0"/>
      <charset val="1"/>
    </font>
    <font>
      <b val="true"/>
      <sz val="9"/>
      <color rgb="FFB07CFF"/>
      <name val="Calibri"/>
      <family val="0"/>
      <charset val="1"/>
    </font>
    <font>
      <i val="true"/>
      <sz val="9"/>
      <color rgb="FF9A9AA5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C8C8D0"/>
      <name val="Calibri"/>
      <family val="2"/>
    </font>
    <font>
      <b val="true"/>
      <sz val="12"/>
      <color rgb="FFF5F5F7"/>
      <name val="Calibri"/>
      <family val="0"/>
      <charset val="1"/>
    </font>
    <font>
      <b val="true"/>
      <sz val="12"/>
      <color rgb="FF2DD4BF"/>
      <name val="Calibri"/>
      <family val="0"/>
      <charset val="1"/>
    </font>
    <font>
      <b val="true"/>
      <sz val="16"/>
      <color rgb="FFFFCC55"/>
      <name val="Calibri"/>
      <family val="0"/>
      <charset val="1"/>
    </font>
    <font>
      <b val="true"/>
      <sz val="9"/>
      <color rgb="FF9A9AA5"/>
      <name val="Calibri"/>
      <family val="0"/>
      <charset val="1"/>
    </font>
    <font>
      <b val="true"/>
      <sz val="13"/>
      <color rgb="FFF5F5F7"/>
      <name val="Calibri"/>
      <family val="0"/>
      <charset val="1"/>
    </font>
    <font>
      <b val="true"/>
      <sz val="8"/>
      <color rgb="FFFF6B6B"/>
      <name val="Calibri"/>
      <family val="0"/>
      <charset val="1"/>
    </font>
    <font>
      <b val="true"/>
      <sz val="8"/>
      <color rgb="FFFFCC55"/>
      <name val="Calibri"/>
      <family val="0"/>
      <charset val="1"/>
    </font>
    <font>
      <b val="true"/>
      <sz val="8"/>
      <color rgb="FF5BD46B"/>
      <name val="Calibri"/>
      <family val="0"/>
      <charset val="1"/>
    </font>
    <font>
      <b val="true"/>
      <sz val="8"/>
      <color rgb="FF2DD4BF"/>
      <name val="Calibri"/>
      <family val="0"/>
      <charset val="1"/>
    </font>
    <font>
      <b val="true"/>
      <sz val="16"/>
      <color rgb="FF2DD4BF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A0A0F"/>
        <bgColor rgb="FF14141C"/>
      </patternFill>
    </fill>
    <fill>
      <patternFill patternType="solid">
        <fgColor rgb="FF242430"/>
        <bgColor rgb="FF1C1C26"/>
      </patternFill>
    </fill>
    <fill>
      <patternFill patternType="solid">
        <fgColor rgb="FF14141C"/>
        <bgColor rgb="FF1C1C26"/>
      </patternFill>
    </fill>
    <fill>
      <patternFill patternType="solid">
        <fgColor rgb="FF1C1C26"/>
        <bgColor rgb="FF14141C"/>
      </patternFill>
    </fill>
  </fills>
  <borders count="2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0E7C7B"/>
      </bottom>
      <diagonal/>
    </border>
    <border diagonalUp="false" diagonalDown="false">
      <left/>
      <right/>
      <top/>
      <bottom style="thin">
        <color rgb="FF33333F"/>
      </bottom>
      <diagonal/>
    </border>
    <border diagonalUp="false" diagonalDown="false">
      <left/>
      <right/>
      <top style="thin">
        <color rgb="FFFFCC55"/>
      </top>
      <bottom style="thin">
        <color rgb="FFFFCC55"/>
      </bottom>
      <diagonal/>
    </border>
    <border diagonalUp="false" diagonalDown="false">
      <left/>
      <right/>
      <top/>
      <bottom style="thin">
        <color rgb="FFC0392B"/>
      </bottom>
      <diagonal/>
    </border>
    <border diagonalUp="false" diagonalDown="false">
      <left style="thin">
        <color rgb="FF33333F"/>
      </left>
      <right style="thin">
        <color rgb="FF33333F"/>
      </right>
      <top style="thin">
        <color rgb="FF33333F"/>
      </top>
      <bottom/>
      <diagonal/>
    </border>
    <border diagonalUp="false" diagonalDown="false">
      <left style="thin">
        <color rgb="FF33333F"/>
      </left>
      <right style="thin">
        <color rgb="FF33333F"/>
      </right>
      <top/>
      <bottom style="thin">
        <color rgb="FF33333F"/>
      </bottom>
      <diagonal/>
    </border>
    <border diagonalUp="false" diagonalDown="false">
      <left/>
      <right/>
      <top/>
      <bottom style="thin">
        <color rgb="FF5AA9FF"/>
      </bottom>
      <diagonal/>
    </border>
    <border diagonalUp="false" diagonalDown="false">
      <left/>
      <right/>
      <top/>
      <bottom style="thin">
        <color rgb="FFFF6B6B"/>
      </bottom>
      <diagonal/>
    </border>
    <border diagonalUp="false" diagonalDown="false">
      <left/>
      <right/>
      <top/>
      <bottom style="thin">
        <color rgb="FFFFCC55"/>
      </bottom>
      <diagonal/>
    </border>
    <border diagonalUp="false" diagonalDown="false">
      <left style="thin">
        <color rgb="FF5BD46B"/>
      </left>
      <right/>
      <top style="thin">
        <color rgb="FF5BD46B"/>
      </top>
      <bottom/>
      <diagonal/>
    </border>
    <border diagonalUp="false" diagonalDown="false">
      <left/>
      <right/>
      <top style="thin">
        <color rgb="FF5BD46B"/>
      </top>
      <bottom/>
      <diagonal/>
    </border>
    <border diagonalUp="false" diagonalDown="false">
      <left style="thin">
        <color rgb="FF5BD46B"/>
      </left>
      <right/>
      <top/>
      <bottom/>
      <diagonal/>
    </border>
    <border diagonalUp="false" diagonalDown="false">
      <left style="thin">
        <color rgb="FFFFCC55"/>
      </left>
      <right/>
      <top style="thin">
        <color rgb="FFFFCC55"/>
      </top>
      <bottom/>
      <diagonal/>
    </border>
    <border diagonalUp="false" diagonalDown="false">
      <left/>
      <right/>
      <top style="thin">
        <color rgb="FFFFCC55"/>
      </top>
      <bottom/>
      <diagonal/>
    </border>
    <border diagonalUp="false" diagonalDown="false">
      <left style="thin">
        <color rgb="FFFFCC55"/>
      </left>
      <right/>
      <top/>
      <bottom/>
      <diagonal/>
    </border>
    <border diagonalUp="false" diagonalDown="false">
      <left style="thin">
        <color rgb="FFFF6B6B"/>
      </left>
      <right/>
      <top style="thin">
        <color rgb="FFFF6B6B"/>
      </top>
      <bottom/>
      <diagonal/>
    </border>
    <border diagonalUp="false" diagonalDown="false">
      <left/>
      <right/>
      <top style="thin">
        <color rgb="FFFF6B6B"/>
      </top>
      <bottom/>
      <diagonal/>
    </border>
    <border diagonalUp="false" diagonalDown="false">
      <left style="thin">
        <color rgb="FFFF6B6B"/>
      </left>
      <right/>
      <top/>
      <bottom/>
      <diagonal/>
    </border>
    <border diagonalUp="false" diagonalDown="false">
      <left style="thin">
        <color rgb="FFFFCC55"/>
      </left>
      <right style="thin">
        <color rgb="FFFFCC55"/>
      </right>
      <top style="thin">
        <color rgb="FFFFCC55"/>
      </top>
      <bottom/>
      <diagonal/>
    </border>
    <border diagonalUp="false" diagonalDown="false">
      <left/>
      <right/>
      <top style="thin">
        <color rgb="FF2DD4BF"/>
      </top>
      <bottom style="thin">
        <color rgb="FF2DD4BF"/>
      </bottom>
      <diagonal/>
    </border>
    <border diagonalUp="false" diagonalDown="false">
      <left style="thin">
        <color rgb="FF33333F"/>
      </left>
      <right/>
      <top/>
      <bottom style="thin">
        <color rgb="FF33333F"/>
      </bottom>
      <diagonal/>
    </border>
    <border diagonalUp="false" diagonalDown="false">
      <left/>
      <right style="thin">
        <color rgb="FF33333F"/>
      </right>
      <top/>
      <bottom style="thin">
        <color rgb="FF33333F"/>
      </bottom>
      <diagonal/>
    </border>
    <border diagonalUp="false" diagonalDown="false">
      <left style="thin">
        <color rgb="FF2DD4BF"/>
      </left>
      <right style="thin">
        <color rgb="FF2DD4BF"/>
      </right>
      <top style="thin">
        <color rgb="FF2DD4BF"/>
      </top>
      <bottom/>
      <diagonal/>
    </border>
    <border diagonalUp="false" diagonalDown="false">
      <left/>
      <right/>
      <top/>
      <bottom style="thin">
        <color rgb="FF2DD4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3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3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3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3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3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3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3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3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3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3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2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3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21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2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1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1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2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1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2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2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6" fillId="3" borderId="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1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6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2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9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3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32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3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32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3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32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33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34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6" fillId="3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3" borderId="1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5" borderId="1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4" borderId="1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8" fillId="3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3" borderId="1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5" borderId="1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4" borderId="1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7" fillId="3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3" fillId="3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4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9" fillId="3" borderId="1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0" fillId="3" borderId="9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0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1" fillId="3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41" fillId="3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41" fillId="3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2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31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8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5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1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43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6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3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7" fillId="3" borderId="2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47" fillId="3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9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4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4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0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50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1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2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50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50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2" fillId="3" borderId="2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0" fillId="3" borderId="2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3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3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8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3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3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44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32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4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3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57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13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1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2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3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4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1" fillId="3" borderId="2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41" fillId="3" borderId="2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41" fillId="3" borderId="2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5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2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57" fillId="3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C0392B"/>
        </patternFill>
      </fill>
    </dxf>
  </dxfs>
  <colors>
    <indexedColors>
      <rgbColor rgb="FF000000"/>
      <rgbColor rgb="FFF5F5F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A0A0F"/>
      <rgbColor rgb="FF808000"/>
      <rgbColor rgb="FF800080"/>
      <rgbColor rgb="FF0E7C7B"/>
      <rgbColor rgb="FFC8C8D0"/>
      <rgbColor rgb="FF4F81BD"/>
      <rgbColor rgb="FFB07CFF"/>
      <rgbColor rgb="FF993366"/>
      <rgbColor rgb="FFFFFFCC"/>
      <rgbColor rgb="FFCCFFFF"/>
      <rgbColor rgb="FF660066"/>
      <rgbColor rgb="FFFF6B6B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B3B3B3"/>
      <rgbColor rgb="FFFF99CC"/>
      <rgbColor rgb="FFCC99FF"/>
      <rgbColor rgb="FFFFCC55"/>
      <rgbColor rgb="FF5AA9FF"/>
      <rgbColor rgb="FF2DD4BF"/>
      <rgbColor rgb="FF5BD46B"/>
      <rgbColor rgb="FFFFCC00"/>
      <rgbColor rgb="FFFF9900"/>
      <rgbColor rgb="FFFF6600"/>
      <rgbColor rgb="FF4A7EBB"/>
      <rgbColor rgb="FF9A9AA5"/>
      <rgbColor rgb="FF14141C"/>
      <rgbColor rgb="FF339966"/>
      <rgbColor rgb="FF1C1C26"/>
      <rgbColor rgb="FF242430"/>
      <rgbColor rgb="FFC0392B"/>
      <rgbColor rgb="FF993366"/>
      <rgbColor rgb="FF333399"/>
      <rgbColor rgb="FF3333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Contacted volume per week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Contacted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categories</c:f>
              <c:strCache>
                <c:ptCount val="4"/>
                <c:pt idx="0">
                  <c:v>Wk1</c:v>
                </c:pt>
                <c:pt idx="1">
                  <c:v>Wk2</c:v>
                </c:pt>
                <c:pt idx="2">
                  <c:v>Wk3</c:v>
                </c:pt>
                <c:pt idx="3">
                  <c:v>Wk4</c:v>
                </c:pt>
              </c:strCache>
            </c:strRef>
          </c:cat>
          <c:val>
            <c:numRef>
              <c:f>0</c:f>
              <c:numCache>
                <c:formatCode>#,##0</c:formatCode>
                <c:ptCount val="4"/>
                <c:pt idx="0">
                  <c:v>239.909090909091</c:v>
                </c:pt>
                <c:pt idx="1">
                  <c:v>292.090909090909</c:v>
                </c:pt>
                <c:pt idx="2">
                  <c:v>360</c:v>
                </c:pt>
                <c:pt idx="3">
                  <c:v>419.977272727273</c:v>
                </c:pt>
              </c:numCache>
            </c:numRef>
          </c:val>
        </c:ser>
        <c:gapWidth val="150"/>
        <c:overlap val="0"/>
        <c:axId val="41482725"/>
        <c:axId val="54543239"/>
      </c:barChart>
      <c:catAx>
        <c:axId val="4148272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C8C8D0"/>
                </a:solidFill>
                <a:uFillTx/>
                <a:latin typeface="Calibri"/>
              </a:defRPr>
            </a:pPr>
          </a:p>
        </c:txPr>
        <c:crossAx val="54543239"/>
        <c:crosses val="autoZero"/>
        <c:auto val="1"/>
        <c:lblAlgn val="ctr"/>
        <c:lblOffset val="100"/>
        <c:noMultiLvlLbl val="0"/>
      </c:catAx>
      <c:valAx>
        <c:axId val="54543239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C8C8D0"/>
                </a:solidFill>
                <a:uFillTx/>
                <a:latin typeface="Calibri"/>
              </a:defRPr>
            </a:pPr>
          </a:p>
        </c:txPr>
        <c:crossAx val="41482725"/>
        <c:crosses val="autoZero"/>
        <c:crossBetween val="between"/>
      </c:valAx>
      <c:spPr>
        <a:solidFill>
          <a:srgbClr val="14141C"/>
        </a:solidFill>
        <a:ln w="0">
          <a:noFill/>
        </a:ln>
      </c:spPr>
    </c:plotArea>
    <c:plotVisOnly val="1"/>
    <c:dispBlanksAs val="gap"/>
  </c:chart>
  <c:spPr>
    <a:solidFill>
      <a:srgbClr val="14141C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ROAS ladder (x)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ROAS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categories</c:f>
              <c:strCache>
                <c:ptCount val="4"/>
                <c:pt idx="0">
                  <c:v>Wk1</c:v>
                </c:pt>
                <c:pt idx="1">
                  <c:v>Wk2</c:v>
                </c:pt>
                <c:pt idx="2">
                  <c:v>Wk3</c:v>
                </c:pt>
                <c:pt idx="3">
                  <c:v>Wk4</c:v>
                </c:pt>
              </c:strCache>
            </c:strRef>
          </c:cat>
          <c:val>
            <c:numRef>
              <c:f>0</c:f>
              <c:numCache>
                <c:formatCode>0.00\x</c:formatCode>
                <c:ptCount val="4"/>
                <c:pt idx="0">
                  <c:v>1.015</c:v>
                </c:pt>
                <c:pt idx="1">
                  <c:v>1.1475</c:v>
                </c:pt>
                <c:pt idx="2">
                  <c:v>1.2375</c:v>
                </c:pt>
                <c:pt idx="3">
                  <c:v>1.35875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8733754"/>
        <c:axId val="30929840"/>
      </c:lineChart>
      <c:catAx>
        <c:axId val="3873375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C8C8D0"/>
                </a:solidFill>
                <a:uFillTx/>
                <a:latin typeface="Calibri"/>
              </a:defRPr>
            </a:pPr>
          </a:p>
        </c:txPr>
        <c:crossAx val="30929840"/>
        <c:crosses val="autoZero"/>
        <c:auto val="1"/>
        <c:lblAlgn val="ctr"/>
        <c:lblOffset val="100"/>
        <c:noMultiLvlLbl val="0"/>
      </c:catAx>
      <c:valAx>
        <c:axId val="30929840"/>
        <c:scaling>
          <c:orientation val="minMax"/>
        </c:scaling>
        <c:delete val="0"/>
        <c:axPos val="l"/>
        <c:numFmt formatCode="0.00\x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C8C8D0"/>
                </a:solidFill>
                <a:uFillTx/>
                <a:latin typeface="Calibri"/>
              </a:defRPr>
            </a:pPr>
          </a:p>
        </c:txPr>
        <c:crossAx val="38733754"/>
        <c:crosses val="autoZero"/>
        <c:crossBetween val="between"/>
      </c:valAx>
      <c:spPr>
        <a:solidFill>
          <a:srgbClr val="14141C"/>
        </a:solidFill>
        <a:ln w="0">
          <a:noFill/>
        </a:ln>
      </c:spPr>
    </c:plotArea>
    <c:plotVisOnly val="1"/>
    <c:dispBlanksAs val="gap"/>
  </c:chart>
  <c:spPr>
    <a:solidFill>
      <a:srgbClr val="14141C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36</xdr:row>
      <xdr:rowOff>0</xdr:rowOff>
    </xdr:from>
    <xdr:to>
      <xdr:col>4</xdr:col>
      <xdr:colOff>806760</xdr:colOff>
      <xdr:row>50</xdr:row>
      <xdr:rowOff>29160</xdr:rowOff>
    </xdr:to>
    <xdr:graphicFrame>
      <xdr:nvGraphicFramePr>
        <xdr:cNvPr id="1" name="Chart 1"/>
        <xdr:cNvGraphicFramePr/>
      </xdr:nvGraphicFramePr>
      <xdr:xfrm>
        <a:off x="211320" y="7248600"/>
        <a:ext cx="5036040" cy="2696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36</xdr:row>
      <xdr:rowOff>0</xdr:rowOff>
    </xdr:from>
    <xdr:to>
      <xdr:col>11</xdr:col>
      <xdr:colOff>807120</xdr:colOff>
      <xdr:row>50</xdr:row>
      <xdr:rowOff>29160</xdr:rowOff>
    </xdr:to>
    <xdr:graphicFrame>
      <xdr:nvGraphicFramePr>
        <xdr:cNvPr id="2" name="Chart 2"/>
        <xdr:cNvGraphicFramePr/>
      </xdr:nvGraphicFramePr>
      <xdr:xfrm>
        <a:off x="7612560" y="7248600"/>
        <a:ext cx="5036040" cy="2696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6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8"/>
    <col collapsed="false" customWidth="true" hidden="false" outlineLevel="0" max="3" min="3" style="1" width="9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2"/>
    <col collapsed="false" customWidth="true" hidden="false" outlineLevel="0" max="8" min="8" style="1" width="11"/>
    <col collapsed="false" customWidth="true" hidden="false" outlineLevel="0" max="9" min="9" style="1" width="9"/>
    <col collapsed="false" customWidth="true" hidden="false" outlineLevel="0" max="10" min="10" style="1" width="13"/>
    <col collapsed="false" customWidth="true" hidden="false" outlineLevel="0" max="11" min="11" style="1" width="14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26.25" hidden="false" customHeight="true" outlineLevel="0" collapsed="false">
      <c r="A2" s="2"/>
      <c r="B2" s="3" t="s">
        <v>0</v>
      </c>
      <c r="C2" s="3"/>
      <c r="D2" s="3"/>
      <c r="E2" s="3"/>
      <c r="F2" s="3"/>
      <c r="G2" s="3"/>
      <c r="H2" s="3"/>
      <c r="I2" s="3"/>
      <c r="J2" s="3"/>
      <c r="K2" s="3"/>
      <c r="L2" s="2"/>
      <c r="M2" s="2"/>
      <c r="N2" s="2"/>
    </row>
    <row r="3" customFormat="false" ht="15" hidden="false" customHeight="true" outlineLevel="0" collapsed="false">
      <c r="A3" s="2"/>
      <c r="B3" s="4" t="s">
        <v>1</v>
      </c>
      <c r="C3" s="4"/>
      <c r="D3" s="4"/>
      <c r="E3" s="4"/>
      <c r="F3" s="4"/>
      <c r="G3" s="4"/>
      <c r="H3" s="4"/>
      <c r="I3" s="4"/>
      <c r="J3" s="4"/>
      <c r="K3" s="4"/>
      <c r="L3" s="2"/>
      <c r="M3" s="2"/>
      <c r="N3" s="2"/>
    </row>
    <row r="4" customFormat="false" ht="15" hidden="false" customHeight="tru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customFormat="false" ht="23.25" hidden="false" customHeight="true" outlineLevel="0" collapsed="false">
      <c r="A5" s="2"/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G5" s="5" t="s">
        <v>7</v>
      </c>
      <c r="H5" s="5" t="s">
        <v>8</v>
      </c>
      <c r="I5" s="5" t="s">
        <v>9</v>
      </c>
      <c r="J5" s="5" t="s">
        <v>10</v>
      </c>
      <c r="K5" s="5" t="s">
        <v>11</v>
      </c>
      <c r="L5" s="2"/>
      <c r="M5" s="2"/>
      <c r="N5" s="2"/>
    </row>
    <row r="6" customFormat="false" ht="15" hidden="false" customHeight="true" outlineLevel="0" collapsed="false">
      <c r="A6" s="2"/>
      <c r="B6" s="6" t="s">
        <v>12</v>
      </c>
      <c r="C6" s="7" t="n">
        <v>9</v>
      </c>
      <c r="D6" s="7" t="n">
        <v>74</v>
      </c>
      <c r="E6" s="8" t="n">
        <v>0.1216</v>
      </c>
      <c r="F6" s="7" t="n">
        <v>1600</v>
      </c>
      <c r="G6" s="9" t="n">
        <v>21.6216</v>
      </c>
      <c r="H6" s="10" t="n">
        <v>0.0462</v>
      </c>
      <c r="I6" s="7" t="n">
        <v>917</v>
      </c>
      <c r="J6" s="9" t="n">
        <v>12.3919</v>
      </c>
      <c r="K6" s="11" t="n">
        <v>13980.7797</v>
      </c>
      <c r="L6" s="2"/>
      <c r="M6" s="2"/>
      <c r="N6" s="2"/>
    </row>
    <row r="7" customFormat="false" ht="15" hidden="false" customHeight="true" outlineLevel="0" collapsed="false">
      <c r="A7" s="2"/>
      <c r="B7" s="12" t="s">
        <v>13</v>
      </c>
      <c r="C7" s="13" t="n">
        <v>5</v>
      </c>
      <c r="D7" s="13" t="n">
        <v>50</v>
      </c>
      <c r="E7" s="14" t="n">
        <v>0.1</v>
      </c>
      <c r="F7" s="13" t="n">
        <v>1780</v>
      </c>
      <c r="G7" s="15" t="n">
        <v>35.6</v>
      </c>
      <c r="H7" s="16" t="n">
        <v>0.0281</v>
      </c>
      <c r="I7" s="13" t="n">
        <v>1339</v>
      </c>
      <c r="J7" s="15" t="n">
        <v>26.78</v>
      </c>
      <c r="K7" s="17" t="n">
        <v>5507.7542</v>
      </c>
      <c r="L7" s="2"/>
      <c r="M7" s="2"/>
      <c r="N7" s="2"/>
    </row>
    <row r="8" customFormat="false" ht="15" hidden="false" customHeight="true" outlineLevel="0" collapsed="false">
      <c r="A8" s="2"/>
      <c r="B8" s="6" t="s">
        <v>14</v>
      </c>
      <c r="C8" s="7" t="n">
        <v>4</v>
      </c>
      <c r="D8" s="7" t="n">
        <v>66</v>
      </c>
      <c r="E8" s="8" t="n">
        <v>0.0606</v>
      </c>
      <c r="F8" s="7" t="n">
        <v>1388</v>
      </c>
      <c r="G8" s="9" t="n">
        <v>21.0303</v>
      </c>
      <c r="H8" s="10" t="n">
        <v>0.0476</v>
      </c>
      <c r="I8" s="7" t="n">
        <v>1128</v>
      </c>
      <c r="J8" s="9" t="n">
        <v>17.0909</v>
      </c>
      <c r="K8" s="11" t="n">
        <v>3875.5535</v>
      </c>
      <c r="L8" s="2"/>
      <c r="M8" s="2"/>
      <c r="N8" s="2"/>
    </row>
    <row r="9" customFormat="false" ht="15" hidden="false" customHeight="true" outlineLevel="0" collapsed="false">
      <c r="A9" s="2"/>
      <c r="B9" s="12" t="s">
        <v>15</v>
      </c>
      <c r="C9" s="13" t="n">
        <v>8</v>
      </c>
      <c r="D9" s="13" t="n">
        <v>77</v>
      </c>
      <c r="E9" s="14" t="n">
        <v>0.1039</v>
      </c>
      <c r="F9" s="13" t="n">
        <v>1548</v>
      </c>
      <c r="G9" s="15" t="n">
        <v>20.1039</v>
      </c>
      <c r="H9" s="16" t="n">
        <v>0.0497</v>
      </c>
      <c r="I9" s="13" t="n">
        <v>1111</v>
      </c>
      <c r="J9" s="15" t="n">
        <v>14.4286</v>
      </c>
      <c r="K9" s="17" t="n">
        <v>9739.647</v>
      </c>
      <c r="L9" s="2"/>
      <c r="M9" s="2"/>
      <c r="N9" s="2"/>
    </row>
    <row r="10" customFormat="false" ht="15" hidden="false" customHeight="true" outlineLevel="0" collapsed="false">
      <c r="A10" s="2"/>
      <c r="B10" s="6" t="s">
        <v>16</v>
      </c>
      <c r="C10" s="7" t="n">
        <v>9</v>
      </c>
      <c r="D10" s="7" t="n">
        <v>96</v>
      </c>
      <c r="E10" s="8" t="n">
        <v>0.0938</v>
      </c>
      <c r="F10" s="7" t="n">
        <v>502</v>
      </c>
      <c r="G10" s="9" t="n">
        <v>5.2292</v>
      </c>
      <c r="H10" s="10" t="n">
        <v>0.1912</v>
      </c>
      <c r="I10" s="7" t="n">
        <v>1235</v>
      </c>
      <c r="J10" s="9" t="n">
        <v>12.8646</v>
      </c>
      <c r="K10" s="11" t="n">
        <v>9692.0196</v>
      </c>
      <c r="L10" s="2"/>
      <c r="M10" s="2"/>
      <c r="N10" s="2"/>
    </row>
    <row r="11" customFormat="false" ht="15" hidden="false" customHeight="true" outlineLevel="0" collapsed="false">
      <c r="A11" s="2"/>
      <c r="B11" s="12" t="s">
        <v>17</v>
      </c>
      <c r="C11" s="13" t="n">
        <v>9</v>
      </c>
      <c r="D11" s="13" t="n">
        <v>50</v>
      </c>
      <c r="E11" s="14" t="n">
        <v>0.18</v>
      </c>
      <c r="F11" s="13" t="n">
        <v>696</v>
      </c>
      <c r="G11" s="15" t="n">
        <v>13.92</v>
      </c>
      <c r="H11" s="16" t="n">
        <v>0.0718</v>
      </c>
      <c r="I11" s="13" t="n">
        <v>368</v>
      </c>
      <c r="J11" s="15" t="n">
        <v>7.36</v>
      </c>
      <c r="K11" s="17" t="n">
        <v>11397.9435</v>
      </c>
      <c r="L11" s="2"/>
      <c r="M11" s="2"/>
      <c r="N11" s="2"/>
    </row>
    <row r="12" customFormat="false" ht="15" hidden="false" customHeight="true" outlineLevel="0" collapsed="false">
      <c r="A12" s="2"/>
      <c r="B12" s="6" t="s">
        <v>18</v>
      </c>
      <c r="C12" s="7" t="n">
        <v>7</v>
      </c>
      <c r="D12" s="7" t="n">
        <v>85</v>
      </c>
      <c r="E12" s="8" t="n">
        <v>0.0824</v>
      </c>
      <c r="F12" s="7" t="n">
        <v>1742</v>
      </c>
      <c r="G12" s="9" t="n">
        <v>20.4941</v>
      </c>
      <c r="H12" s="10" t="n">
        <v>0.0488</v>
      </c>
      <c r="I12" s="7" t="n">
        <v>1040</v>
      </c>
      <c r="J12" s="9" t="n">
        <v>12.2353</v>
      </c>
      <c r="K12" s="11" t="n">
        <v>8877.3035</v>
      </c>
      <c r="L12" s="2"/>
      <c r="M12" s="2"/>
      <c r="N12" s="2"/>
    </row>
    <row r="13" customFormat="false" ht="15" hidden="false" customHeight="true" outlineLevel="0" collapsed="false">
      <c r="A13" s="2"/>
      <c r="B13" s="12" t="s">
        <v>19</v>
      </c>
      <c r="C13" s="13" t="n">
        <v>4</v>
      </c>
      <c r="D13" s="13" t="n">
        <v>43</v>
      </c>
      <c r="E13" s="14" t="n">
        <v>0.093</v>
      </c>
      <c r="F13" s="13" t="n">
        <v>1530</v>
      </c>
      <c r="G13" s="15" t="n">
        <v>35.5814</v>
      </c>
      <c r="H13" s="16" t="n">
        <v>0.0281</v>
      </c>
      <c r="I13" s="13" t="n">
        <v>982</v>
      </c>
      <c r="J13" s="15" t="n">
        <v>22.8372</v>
      </c>
      <c r="K13" s="17" t="n">
        <v>3952</v>
      </c>
      <c r="L13" s="2"/>
      <c r="M13" s="2"/>
      <c r="N13" s="2"/>
    </row>
    <row r="14" customFormat="false" ht="15" hidden="false" customHeight="true" outlineLevel="0" collapsed="false">
      <c r="A14" s="2"/>
      <c r="B14" s="18" t="s">
        <v>20</v>
      </c>
      <c r="C14" s="19" t="n">
        <f aca="false">SUM(C6:C13)</f>
        <v>55</v>
      </c>
      <c r="D14" s="19" t="n">
        <f aca="false">SUM(D6:D13)</f>
        <v>541</v>
      </c>
      <c r="E14" s="20" t="n">
        <f aca="false">C14/D14</f>
        <v>0.101663585951941</v>
      </c>
      <c r="F14" s="19" t="n">
        <f aca="false">SUM(F6:F13)</f>
        <v>10786</v>
      </c>
      <c r="G14" s="21" t="n">
        <f aca="false">F14/D14</f>
        <v>19.9371534195933</v>
      </c>
      <c r="H14" s="22" t="n">
        <f aca="false">D14/F14</f>
        <v>0.0501576117188949</v>
      </c>
      <c r="I14" s="19" t="n">
        <f aca="false">SUM(I6:I13)</f>
        <v>8120</v>
      </c>
      <c r="J14" s="21" t="n">
        <f aca="false">I14/D14</f>
        <v>15.0092421441774</v>
      </c>
      <c r="K14" s="23" t="n">
        <f aca="false">SUM(K6:K13)</f>
        <v>67023.001</v>
      </c>
      <c r="L14" s="2"/>
      <c r="M14" s="2"/>
      <c r="N14" s="2"/>
    </row>
    <row r="15" customFormat="false" ht="15" hidden="false" customHeight="tru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customFormat="false" ht="15" hidden="false" customHeight="tru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  <row r="17" customFormat="false" ht="15" hidden="false" customHeight="tru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customFormat="false" ht="15" hidden="false" customHeight="true" outlineLevel="0" collapsed="false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customFormat="false" ht="15" hidden="false" customHeight="tru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customFormat="false" ht="15" hidden="false" customHeight="tru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customFormat="false" ht="15" hidden="false" customHeight="tru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customFormat="false" ht="15" hidden="false" customHeight="tru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customFormat="false" ht="15" hidden="false" customHeight="tru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customFormat="false" ht="15" hidden="false" customHeight="tru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customFormat="false" ht="15" hidden="false" customHeight="tru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customFormat="false" ht="15" hidden="false" customHeight="tru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customFormat="false" ht="15" hidden="false" customHeight="tru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customFormat="false" ht="15" hidden="false" customHeight="tru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customFormat="false" ht="15" hidden="false" customHeight="tru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customFormat="false" ht="15" hidden="false" customHeight="tru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customFormat="false" ht="15" hidden="false" customHeight="tru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customFormat="false" ht="15" hidden="false" customHeight="tru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customFormat="false" ht="15" hidden="false" customHeight="tru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customFormat="false" ht="15" hidden="false" customHeight="tru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customFormat="false" ht="15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customFormat="false" ht="15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customFormat="false" ht="15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customFormat="false" ht="15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customFormat="false" ht="1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customFormat="false" ht="1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customFormat="false" ht="15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customFormat="false" ht="1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customFormat="false" ht="1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customFormat="false" ht="1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customFormat="false" ht="1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customFormat="false" ht="1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customFormat="false" ht="1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customFormat="false" ht="1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customFormat="false" ht="1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customFormat="false" ht="1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customFormat="false" ht="1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customFormat="false" ht="1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customFormat="false" ht="1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customFormat="false" ht="1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customFormat="false" ht="1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customFormat="false" ht="1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customFormat="false" ht="1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customFormat="false" ht="1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customFormat="false" ht="1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customFormat="false" ht="1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</sheetData>
  <mergeCells count="2">
    <mergeCell ref="B2:K2"/>
    <mergeCell ref="B3:K3"/>
  </mergeCells>
  <printOptions headings="false" gridLines="false" gridLinesSet="true" horizontalCentered="false" verticalCentered="false"/>
  <pageMargins left="0.2" right="0.2" top="0.3" bottom="0.3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0"/>
    <col collapsed="false" customWidth="true" hidden="false" outlineLevel="0" max="3" min="3" style="1" width="9"/>
    <col collapsed="false" customWidth="true" hidden="false" outlineLevel="0" max="4" min="4" style="1" width="11"/>
    <col collapsed="false" customWidth="true" hidden="false" outlineLevel="0" max="6" min="5" style="1" width="9"/>
    <col collapsed="false" customWidth="true" hidden="false" outlineLevel="0" max="9" min="7" style="1" width="13"/>
    <col collapsed="false" customWidth="true" hidden="false" outlineLevel="0" max="10" min="10" style="1" width="11"/>
    <col collapsed="false" customWidth="true" hidden="false" outlineLevel="0" max="11" min="11" style="1" width="14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26.25" hidden="false" customHeight="true" outlineLevel="0" collapsed="false">
      <c r="A2" s="2"/>
      <c r="B2" s="3" t="s">
        <v>21</v>
      </c>
      <c r="C2" s="3"/>
      <c r="D2" s="3"/>
      <c r="E2" s="3"/>
      <c r="F2" s="3"/>
      <c r="G2" s="3"/>
      <c r="H2" s="3"/>
      <c r="I2" s="3"/>
      <c r="J2" s="3"/>
      <c r="K2" s="3"/>
      <c r="L2" s="2"/>
      <c r="M2" s="2"/>
      <c r="N2" s="2"/>
    </row>
    <row r="3" customFormat="false" ht="15" hidden="false" customHeight="true" outlineLevel="0" collapsed="false">
      <c r="A3" s="2"/>
      <c r="B3" s="4" t="s">
        <v>22</v>
      </c>
      <c r="C3" s="4"/>
      <c r="D3" s="4"/>
      <c r="E3" s="4"/>
      <c r="F3" s="4"/>
      <c r="G3" s="4"/>
      <c r="H3" s="4"/>
      <c r="I3" s="4"/>
      <c r="J3" s="4"/>
      <c r="K3" s="4"/>
      <c r="L3" s="2"/>
      <c r="M3" s="2"/>
      <c r="N3" s="2"/>
    </row>
    <row r="4" customFormat="false" ht="15" hidden="false" customHeight="tru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customFormat="false" ht="23.25" hidden="false" customHeight="true" outlineLevel="0" collapsed="false">
      <c r="A5" s="2"/>
      <c r="B5" s="24" t="s">
        <v>2</v>
      </c>
      <c r="C5" s="24" t="s">
        <v>3</v>
      </c>
      <c r="D5" s="24" t="s">
        <v>4</v>
      </c>
      <c r="E5" s="24" t="s">
        <v>6</v>
      </c>
      <c r="F5" s="24" t="s">
        <v>9</v>
      </c>
      <c r="G5" s="24" t="s">
        <v>10</v>
      </c>
      <c r="H5" s="24" t="s">
        <v>23</v>
      </c>
      <c r="I5" s="24" t="s">
        <v>7</v>
      </c>
      <c r="J5" s="24" t="s">
        <v>5</v>
      </c>
      <c r="K5" s="24" t="s">
        <v>11</v>
      </c>
      <c r="L5" s="2"/>
      <c r="M5" s="2"/>
      <c r="N5" s="2"/>
    </row>
    <row r="6" customFormat="false" ht="15" hidden="false" customHeight="true" outlineLevel="0" collapsed="false">
      <c r="A6" s="2"/>
      <c r="B6" s="6" t="s">
        <v>24</v>
      </c>
      <c r="C6" s="7" t="n">
        <v>1</v>
      </c>
      <c r="D6" s="7" t="n">
        <v>76</v>
      </c>
      <c r="E6" s="7" t="n">
        <v>2681</v>
      </c>
      <c r="F6" s="7" t="n">
        <v>1556</v>
      </c>
      <c r="G6" s="9" t="n">
        <v>20.4737</v>
      </c>
      <c r="H6" s="10" t="n">
        <v>0.0283</v>
      </c>
      <c r="I6" s="9" t="n">
        <v>35.2763</v>
      </c>
      <c r="J6" s="8" t="n">
        <v>0.0132</v>
      </c>
      <c r="K6" s="11" t="n">
        <v>1119.2</v>
      </c>
      <c r="L6" s="2"/>
      <c r="M6" s="2"/>
      <c r="N6" s="2"/>
    </row>
    <row r="7" customFormat="false" ht="15" hidden="false" customHeight="true" outlineLevel="0" collapsed="false">
      <c r="A7" s="2"/>
      <c r="B7" s="12" t="s">
        <v>25</v>
      </c>
      <c r="C7" s="13" t="n">
        <v>1</v>
      </c>
      <c r="D7" s="13" t="n">
        <v>68</v>
      </c>
      <c r="E7" s="13" t="n">
        <v>3003</v>
      </c>
      <c r="F7" s="13" t="n">
        <v>2008</v>
      </c>
      <c r="G7" s="15" t="n">
        <v>29.5294</v>
      </c>
      <c r="H7" s="16" t="n">
        <v>0.0226</v>
      </c>
      <c r="I7" s="15" t="n">
        <v>44.1618</v>
      </c>
      <c r="J7" s="14" t="n">
        <v>0.0147</v>
      </c>
      <c r="K7" s="17" t="n">
        <v>1000.0052</v>
      </c>
      <c r="L7" s="2"/>
      <c r="M7" s="2"/>
      <c r="N7" s="2"/>
    </row>
    <row r="8" customFormat="false" ht="15" hidden="false" customHeight="true" outlineLevel="0" collapsed="false">
      <c r="A8" s="2"/>
      <c r="B8" s="6" t="s">
        <v>26</v>
      </c>
      <c r="C8" s="7" t="n">
        <v>1</v>
      </c>
      <c r="D8" s="7" t="n">
        <v>97</v>
      </c>
      <c r="E8" s="7" t="s">
        <v>27</v>
      </c>
      <c r="F8" s="7" t="n">
        <v>1454</v>
      </c>
      <c r="G8" s="9" t="n">
        <v>14.9897</v>
      </c>
      <c r="H8" s="10" t="s">
        <v>27</v>
      </c>
      <c r="I8" s="9" t="n">
        <v>0</v>
      </c>
      <c r="J8" s="8" t="n">
        <v>0.0103</v>
      </c>
      <c r="K8" s="11" t="n">
        <v>999.0259</v>
      </c>
      <c r="L8" s="2"/>
      <c r="M8" s="2"/>
      <c r="N8" s="2"/>
    </row>
    <row r="9" customFormat="false" ht="15" hidden="false" customHeight="true" outlineLevel="0" collapsed="false">
      <c r="A9" s="2"/>
      <c r="B9" s="12" t="s">
        <v>28</v>
      </c>
      <c r="C9" s="13" t="n">
        <v>1</v>
      </c>
      <c r="D9" s="13" t="n">
        <v>42</v>
      </c>
      <c r="E9" s="13" t="n">
        <v>1518</v>
      </c>
      <c r="F9" s="13" t="n">
        <v>1261</v>
      </c>
      <c r="G9" s="15" t="n">
        <v>30.0238</v>
      </c>
      <c r="H9" s="16" t="n">
        <v>0.0277</v>
      </c>
      <c r="I9" s="15" t="n">
        <v>36.1429</v>
      </c>
      <c r="J9" s="14" t="n">
        <v>0.0238</v>
      </c>
      <c r="K9" s="17" t="n">
        <v>965.31</v>
      </c>
      <c r="L9" s="2"/>
      <c r="M9" s="2"/>
      <c r="N9" s="2"/>
    </row>
    <row r="10" customFormat="false" ht="15" hidden="false" customHeight="true" outlineLevel="0" collapsed="false">
      <c r="A10" s="2"/>
      <c r="B10" s="18" t="s">
        <v>20</v>
      </c>
      <c r="C10" s="19" t="n">
        <f aca="false">SUM(C6:C9)</f>
        <v>4</v>
      </c>
      <c r="D10" s="19" t="n">
        <f aca="false">SUM(D6:D9)</f>
        <v>283</v>
      </c>
      <c r="E10" s="19" t="n">
        <f aca="false">SUM(E6:E9)</f>
        <v>7202</v>
      </c>
      <c r="F10" s="19" t="n">
        <f aca="false">SUM(F6:F9)</f>
        <v>6279</v>
      </c>
      <c r="G10" s="21" t="n">
        <f aca="false">F10/D10</f>
        <v>22.1872791519435</v>
      </c>
      <c r="H10" s="22" t="n">
        <f aca="false">D10/E10</f>
        <v>0.0392946403776729</v>
      </c>
      <c r="I10" s="21" t="n">
        <f aca="false">E10/D10</f>
        <v>25.4487632508834</v>
      </c>
      <c r="J10" s="20" t="n">
        <f aca="false">C10/D10</f>
        <v>0.0141342756183746</v>
      </c>
      <c r="K10" s="23" t="n">
        <f aca="false">SUM(K6:K9)</f>
        <v>4083.5411</v>
      </c>
      <c r="L10" s="2"/>
      <c r="M10" s="2"/>
      <c r="N10" s="2"/>
    </row>
    <row r="11" customFormat="false" ht="15" hidden="false" customHeight="tru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customFormat="false" ht="15" hidden="false" customHeight="tru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customFormat="false" ht="15" hidden="false" customHeight="tru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customFormat="false" ht="15" hidden="false" customHeight="tru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</row>
    <row r="15" customFormat="false" ht="15" hidden="false" customHeight="tru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customFormat="false" ht="15" hidden="false" customHeight="tru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  <row r="17" customFormat="false" ht="15" hidden="false" customHeight="tru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customFormat="false" ht="15" hidden="false" customHeight="true" outlineLevel="0" collapsed="false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customFormat="false" ht="15" hidden="false" customHeight="tru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customFormat="false" ht="15" hidden="false" customHeight="tru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customFormat="false" ht="15" hidden="false" customHeight="tru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customFormat="false" ht="15" hidden="false" customHeight="tru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customFormat="false" ht="15" hidden="false" customHeight="tru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customFormat="false" ht="15" hidden="false" customHeight="tru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customFormat="false" ht="15" hidden="false" customHeight="tru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customFormat="false" ht="15" hidden="false" customHeight="tru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customFormat="false" ht="15" hidden="false" customHeight="tru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customFormat="false" ht="15" hidden="false" customHeight="tru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customFormat="false" ht="15" hidden="false" customHeight="tru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customFormat="false" ht="15" hidden="false" customHeight="tru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customFormat="false" ht="15" hidden="false" customHeight="tru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customFormat="false" ht="15" hidden="false" customHeight="tru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customFormat="false" ht="15" hidden="false" customHeight="tru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customFormat="false" ht="15" hidden="false" customHeight="tru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customFormat="false" ht="15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customFormat="false" ht="15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customFormat="false" ht="15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customFormat="false" ht="15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customFormat="false" ht="1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customFormat="false" ht="1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customFormat="false" ht="15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customFormat="false" ht="1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customFormat="false" ht="1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customFormat="false" ht="1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customFormat="false" ht="1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customFormat="false" ht="1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customFormat="false" ht="1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customFormat="false" ht="1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customFormat="false" ht="1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customFormat="false" ht="1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customFormat="false" ht="1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customFormat="false" ht="1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customFormat="false" ht="1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customFormat="false" ht="1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customFormat="false" ht="1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customFormat="false" ht="1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customFormat="false" ht="1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customFormat="false" ht="1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customFormat="false" ht="1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customFormat="false" ht="1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</sheetData>
  <mergeCells count="2">
    <mergeCell ref="B2:K2"/>
    <mergeCell ref="B3:K3"/>
  </mergeCells>
  <printOptions headings="false" gridLines="false" gridLinesSet="true" horizontalCentered="false" verticalCentered="false"/>
  <pageMargins left="0.2" right="0.2" top="0.3" bottom="0.3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6"/>
    <col collapsed="false" customWidth="true" hidden="false" outlineLevel="0" max="12" min="3" style="1" width="13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33.75" hidden="false" customHeight="true" outlineLevel="0" collapsed="false">
      <c r="A2" s="2"/>
      <c r="B2" s="25" t="s">
        <v>29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"/>
      <c r="N2" s="2"/>
      <c r="O2" s="2"/>
      <c r="P2" s="2"/>
      <c r="Q2" s="2"/>
      <c r="R2" s="2"/>
      <c r="S2" s="2"/>
      <c r="T2" s="2"/>
    </row>
    <row r="3" customFormat="false" ht="15" hidden="false" customHeight="true" outlineLevel="0" collapsed="false">
      <c r="A3" s="2"/>
      <c r="B3" s="26" t="s">
        <v>30</v>
      </c>
      <c r="C3" s="26"/>
      <c r="D3" s="26"/>
      <c r="E3" s="26"/>
      <c r="F3" s="26"/>
      <c r="G3" s="26"/>
      <c r="H3" s="26"/>
      <c r="I3" s="26"/>
      <c r="J3" s="26"/>
      <c r="K3" s="26"/>
      <c r="L3" s="26"/>
      <c r="M3" s="2"/>
      <c r="N3" s="2"/>
      <c r="O3" s="2"/>
      <c r="P3" s="2"/>
      <c r="Q3" s="2"/>
      <c r="R3" s="2"/>
      <c r="S3" s="2"/>
      <c r="T3" s="2"/>
    </row>
    <row r="4" customFormat="false" ht="15" hidden="false" customHeight="true" outlineLevel="0" collapsed="false">
      <c r="A4" s="2"/>
      <c r="B4" s="27" t="s">
        <v>31</v>
      </c>
      <c r="C4" s="27"/>
      <c r="D4" s="27"/>
      <c r="E4" s="27"/>
      <c r="F4" s="27"/>
      <c r="G4" s="27"/>
      <c r="H4" s="27"/>
      <c r="I4" s="27"/>
      <c r="J4" s="27"/>
      <c r="K4" s="27"/>
      <c r="L4" s="27"/>
      <c r="M4" s="2"/>
      <c r="N4" s="2"/>
      <c r="O4" s="2"/>
      <c r="P4" s="2"/>
      <c r="Q4" s="2"/>
      <c r="R4" s="2"/>
      <c r="S4" s="2"/>
      <c r="T4" s="2"/>
    </row>
    <row r="5" customFormat="false" ht="15" hidden="false" customHeight="true" outlineLevel="0" collapsed="false">
      <c r="A5" s="2"/>
      <c r="B5" s="28" t="s">
        <v>32</v>
      </c>
      <c r="C5" s="28"/>
      <c r="D5" s="28"/>
      <c r="E5" s="28"/>
      <c r="F5" s="28"/>
      <c r="G5" s="28"/>
      <c r="H5" s="28"/>
      <c r="I5" s="28"/>
      <c r="J5" s="28"/>
      <c r="K5" s="28"/>
      <c r="L5" s="28"/>
      <c r="M5" s="2"/>
      <c r="N5" s="2"/>
      <c r="O5" s="2"/>
      <c r="P5" s="2"/>
      <c r="Q5" s="2"/>
      <c r="R5" s="2"/>
      <c r="S5" s="2"/>
      <c r="T5" s="2"/>
    </row>
    <row r="6" customFormat="false" ht="15" hidden="false" customHeight="true" outlineLevel="0" collapsed="false">
      <c r="A6" s="2"/>
      <c r="B6" s="29" t="s">
        <v>33</v>
      </c>
      <c r="C6" s="29"/>
      <c r="D6" s="30" t="s">
        <v>34</v>
      </c>
      <c r="E6" s="30"/>
      <c r="F6" s="29" t="s">
        <v>35</v>
      </c>
      <c r="G6" s="29"/>
      <c r="H6" s="30" t="s">
        <v>36</v>
      </c>
      <c r="I6" s="30"/>
      <c r="J6" s="31" t="s">
        <v>37</v>
      </c>
      <c r="K6" s="31"/>
      <c r="L6" s="2"/>
      <c r="M6" s="2"/>
      <c r="N6" s="2"/>
      <c r="O6" s="2"/>
      <c r="P6" s="2"/>
      <c r="Q6" s="2"/>
      <c r="R6" s="2"/>
      <c r="S6" s="2"/>
      <c r="T6" s="2"/>
    </row>
    <row r="7" customFormat="false" ht="15" hidden="false" customHeight="true" outlineLevel="0" collapsed="false">
      <c r="A7" s="2"/>
      <c r="B7" s="32" t="n">
        <v>68575.751</v>
      </c>
      <c r="C7" s="32"/>
      <c r="D7" s="32" t="n">
        <v>4083.5411</v>
      </c>
      <c r="E7" s="32"/>
      <c r="F7" s="33" t="n">
        <v>554</v>
      </c>
      <c r="G7" s="33"/>
      <c r="H7" s="33" t="n">
        <v>351</v>
      </c>
      <c r="I7" s="33"/>
      <c r="J7" s="34" t="s">
        <v>38</v>
      </c>
      <c r="K7" s="34"/>
      <c r="L7" s="2"/>
      <c r="M7" s="2"/>
      <c r="N7" s="2"/>
      <c r="O7" s="2"/>
      <c r="P7" s="2"/>
      <c r="Q7" s="2"/>
      <c r="R7" s="2"/>
      <c r="S7" s="2"/>
      <c r="T7" s="2"/>
    </row>
    <row r="8" customFormat="false" ht="15" hidden="false" customHeight="true" outlineLevel="0" collapsed="false">
      <c r="A8" s="2"/>
      <c r="B8" s="32"/>
      <c r="C8" s="32"/>
      <c r="D8" s="32"/>
      <c r="E8" s="32"/>
      <c r="F8" s="33"/>
      <c r="G8" s="33"/>
      <c r="H8" s="33"/>
      <c r="I8" s="33"/>
      <c r="J8" s="34"/>
      <c r="K8" s="34"/>
      <c r="L8" s="2"/>
      <c r="M8" s="2"/>
      <c r="N8" s="2"/>
      <c r="O8" s="2"/>
      <c r="P8" s="2"/>
      <c r="Q8" s="2"/>
      <c r="R8" s="2"/>
      <c r="S8" s="2"/>
      <c r="T8" s="2"/>
    </row>
    <row r="9" customFormat="false" ht="15" hidden="false" customHeight="true" outlineLevel="0" collapsed="false">
      <c r="A9" s="2"/>
      <c r="B9" s="35" t="s">
        <v>39</v>
      </c>
      <c r="C9" s="35"/>
      <c r="D9" s="35" t="s">
        <v>40</v>
      </c>
      <c r="E9" s="35"/>
      <c r="F9" s="35" t="s">
        <v>41</v>
      </c>
      <c r="G9" s="35"/>
      <c r="H9" s="35" t="s">
        <v>41</v>
      </c>
      <c r="I9" s="35"/>
      <c r="J9" s="35" t="s">
        <v>42</v>
      </c>
      <c r="K9" s="35"/>
      <c r="L9" s="2"/>
      <c r="M9" s="2"/>
      <c r="N9" s="2"/>
      <c r="O9" s="2"/>
      <c r="P9" s="2"/>
      <c r="Q9" s="2"/>
      <c r="R9" s="2"/>
      <c r="S9" s="2"/>
      <c r="T9" s="2"/>
    </row>
    <row r="10" customFormat="false" ht="15" hidden="false" customHeight="tru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</row>
    <row r="11" customFormat="false" ht="15" hidden="false" customHeight="tru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</row>
    <row r="12" customFormat="false" ht="15.75" hidden="false" customHeight="true" outlineLevel="0" collapsed="false">
      <c r="A12" s="2"/>
      <c r="B12" s="36" t="s">
        <v>43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2"/>
      <c r="N12" s="2"/>
      <c r="O12" s="2"/>
      <c r="P12" s="2"/>
      <c r="Q12" s="2"/>
      <c r="R12" s="2"/>
      <c r="S12" s="2"/>
      <c r="T12" s="2"/>
    </row>
    <row r="13" customFormat="false" ht="15" hidden="false" customHeight="true" outlineLevel="0" collapsed="false">
      <c r="A13" s="2"/>
      <c r="B13" s="37" t="s">
        <v>44</v>
      </c>
      <c r="C13" s="37"/>
      <c r="D13" s="37"/>
      <c r="E13" s="38" t="s">
        <v>45</v>
      </c>
      <c r="F13" s="38"/>
      <c r="G13" s="38" t="s">
        <v>46</v>
      </c>
      <c r="H13" s="38"/>
      <c r="I13" s="38" t="s">
        <v>47</v>
      </c>
      <c r="J13" s="38"/>
      <c r="K13" s="38" t="s">
        <v>48</v>
      </c>
      <c r="L13" s="38"/>
      <c r="M13" s="38"/>
      <c r="N13" s="38"/>
      <c r="O13" s="38"/>
      <c r="P13" s="38"/>
      <c r="Q13" s="38"/>
      <c r="R13" s="38"/>
      <c r="S13" s="38"/>
      <c r="T13" s="38"/>
    </row>
    <row r="14" customFormat="false" ht="15" hidden="false" customHeight="true" outlineLevel="0" collapsed="false">
      <c r="A14" s="2"/>
      <c r="B14" s="6" t="s">
        <v>49</v>
      </c>
      <c r="C14" s="6"/>
      <c r="D14" s="6"/>
      <c r="E14" s="39" t="n">
        <v>554</v>
      </c>
      <c r="F14" s="39"/>
      <c r="G14" s="40" t="n">
        <v>351</v>
      </c>
      <c r="H14" s="40"/>
      <c r="I14" s="41" t="n">
        <v>203</v>
      </c>
      <c r="J14" s="41"/>
      <c r="K14" s="42" t="s">
        <v>50</v>
      </c>
      <c r="L14" s="42"/>
      <c r="M14" s="42"/>
      <c r="N14" s="42"/>
      <c r="O14" s="42"/>
      <c r="P14" s="42"/>
      <c r="Q14" s="42"/>
      <c r="R14" s="42"/>
      <c r="S14" s="42"/>
      <c r="T14" s="42"/>
    </row>
    <row r="15" customFormat="false" ht="15" hidden="false" customHeight="true" outlineLevel="0" collapsed="false">
      <c r="A15" s="2"/>
      <c r="B15" s="12" t="s">
        <v>51</v>
      </c>
      <c r="C15" s="12"/>
      <c r="D15" s="12"/>
      <c r="E15" s="43" t="n">
        <v>4.328125</v>
      </c>
      <c r="F15" s="43"/>
      <c r="G15" s="44" t="n">
        <v>5.85</v>
      </c>
      <c r="H15" s="44"/>
      <c r="I15" s="45" t="n">
        <v>-1.521875</v>
      </c>
      <c r="J15" s="45"/>
      <c r="K15" s="46" t="s">
        <v>52</v>
      </c>
      <c r="L15" s="46"/>
      <c r="M15" s="46"/>
      <c r="N15" s="46"/>
      <c r="O15" s="46"/>
      <c r="P15" s="46"/>
      <c r="Q15" s="46"/>
      <c r="R15" s="46"/>
      <c r="S15" s="46"/>
      <c r="T15" s="46"/>
    </row>
    <row r="16" customFormat="false" ht="15" hidden="false" customHeight="true" outlineLevel="0" collapsed="false">
      <c r="A16" s="2"/>
      <c r="B16" s="6" t="s">
        <v>53</v>
      </c>
      <c r="C16" s="6"/>
      <c r="D16" s="6"/>
      <c r="E16" s="39" t="n">
        <v>11723</v>
      </c>
      <c r="F16" s="39"/>
      <c r="G16" s="40" t="n">
        <v>8503</v>
      </c>
      <c r="H16" s="40"/>
      <c r="I16" s="41" t="n">
        <v>3220</v>
      </c>
      <c r="J16" s="41"/>
      <c r="K16" s="42" t="s">
        <v>54</v>
      </c>
      <c r="L16" s="42"/>
      <c r="M16" s="42"/>
      <c r="N16" s="42"/>
      <c r="O16" s="42"/>
      <c r="P16" s="42"/>
      <c r="Q16" s="42"/>
      <c r="R16" s="42"/>
      <c r="S16" s="42"/>
      <c r="T16" s="42"/>
    </row>
    <row r="17" customFormat="false" ht="15" hidden="false" customHeight="true" outlineLevel="0" collapsed="false">
      <c r="A17" s="2"/>
      <c r="B17" s="12" t="s">
        <v>55</v>
      </c>
      <c r="C17" s="12"/>
      <c r="D17" s="12"/>
      <c r="E17" s="47" t="n">
        <v>91.5859375</v>
      </c>
      <c r="F17" s="47"/>
      <c r="G17" s="48" t="n">
        <v>141.716666666667</v>
      </c>
      <c r="H17" s="48"/>
      <c r="I17" s="49" t="n">
        <v>-50.1307291666667</v>
      </c>
      <c r="J17" s="49"/>
      <c r="K17" s="46" t="s">
        <v>56</v>
      </c>
      <c r="L17" s="46"/>
      <c r="M17" s="46"/>
      <c r="N17" s="46"/>
      <c r="O17" s="46"/>
      <c r="P17" s="46"/>
      <c r="Q17" s="46"/>
      <c r="R17" s="46"/>
      <c r="S17" s="46"/>
      <c r="T17" s="46"/>
    </row>
    <row r="18" customFormat="false" ht="15" hidden="false" customHeight="true" outlineLevel="0" collapsed="false">
      <c r="A18" s="2"/>
      <c r="B18" s="6" t="s">
        <v>7</v>
      </c>
      <c r="C18" s="6"/>
      <c r="D18" s="6"/>
      <c r="E18" s="50" t="n">
        <v>21.1606498194946</v>
      </c>
      <c r="F18" s="50"/>
      <c r="G18" s="51" t="n">
        <v>24.2250712250712</v>
      </c>
      <c r="H18" s="51"/>
      <c r="I18" s="52" t="n">
        <v>-3.06442140557664</v>
      </c>
      <c r="J18" s="52"/>
      <c r="K18" s="42" t="s">
        <v>57</v>
      </c>
      <c r="L18" s="42"/>
      <c r="M18" s="42"/>
      <c r="N18" s="42"/>
      <c r="O18" s="42"/>
      <c r="P18" s="42"/>
      <c r="Q18" s="42"/>
      <c r="R18" s="42"/>
      <c r="S18" s="42"/>
      <c r="T18" s="42"/>
    </row>
    <row r="19" customFormat="false" ht="15" hidden="false" customHeight="true" outlineLevel="0" collapsed="false">
      <c r="A19" s="2"/>
      <c r="B19" s="12" t="s">
        <v>58</v>
      </c>
      <c r="C19" s="12"/>
      <c r="D19" s="12"/>
      <c r="E19" s="53" t="n">
        <v>0.047257527936535</v>
      </c>
      <c r="F19" s="53"/>
      <c r="G19" s="54" t="n">
        <v>0.0412795483946842</v>
      </c>
      <c r="H19" s="54"/>
      <c r="I19" s="55" t="n">
        <v>0.00597797954185079</v>
      </c>
      <c r="J19" s="55"/>
      <c r="K19" s="46" t="s">
        <v>59</v>
      </c>
      <c r="L19" s="46"/>
      <c r="M19" s="46"/>
      <c r="N19" s="46"/>
      <c r="O19" s="46"/>
      <c r="P19" s="46"/>
      <c r="Q19" s="46"/>
      <c r="R19" s="46"/>
      <c r="S19" s="46"/>
      <c r="T19" s="46"/>
    </row>
    <row r="20" customFormat="false" ht="15" hidden="false" customHeight="true" outlineLevel="0" collapsed="false">
      <c r="A20" s="2"/>
      <c r="B20" s="6" t="s">
        <v>60</v>
      </c>
      <c r="C20" s="6"/>
      <c r="D20" s="6"/>
      <c r="E20" s="39" t="n">
        <v>8765</v>
      </c>
      <c r="F20" s="39"/>
      <c r="G20" s="40" t="n">
        <v>7115</v>
      </c>
      <c r="H20" s="40"/>
      <c r="I20" s="41" t="n">
        <v>1650</v>
      </c>
      <c r="J20" s="41"/>
      <c r="K20" s="42" t="s">
        <v>61</v>
      </c>
      <c r="L20" s="42"/>
      <c r="M20" s="42"/>
      <c r="N20" s="42"/>
      <c r="O20" s="42"/>
      <c r="P20" s="42"/>
      <c r="Q20" s="42"/>
      <c r="R20" s="42"/>
      <c r="S20" s="42"/>
      <c r="T20" s="42"/>
    </row>
    <row r="21" customFormat="false" ht="15" hidden="false" customHeight="true" outlineLevel="0" collapsed="false">
      <c r="A21" s="2"/>
      <c r="B21" s="12" t="s">
        <v>10</v>
      </c>
      <c r="C21" s="12"/>
      <c r="D21" s="12"/>
      <c r="E21" s="47" t="n">
        <v>15.8212996389892</v>
      </c>
      <c r="F21" s="47"/>
      <c r="G21" s="48" t="n">
        <v>20.2706552706553</v>
      </c>
      <c r="H21" s="48"/>
      <c r="I21" s="49" t="n">
        <v>-4.4493556316661</v>
      </c>
      <c r="J21" s="49"/>
      <c r="K21" s="46" t="s">
        <v>62</v>
      </c>
      <c r="L21" s="46"/>
      <c r="M21" s="46"/>
      <c r="N21" s="46"/>
      <c r="O21" s="46"/>
      <c r="P21" s="46"/>
      <c r="Q21" s="46"/>
      <c r="R21" s="46"/>
      <c r="S21" s="46"/>
      <c r="T21" s="46"/>
    </row>
    <row r="22" customFormat="false" ht="15" hidden="false" customHeight="true" outlineLevel="0" collapsed="false">
      <c r="A22" s="2"/>
      <c r="B22" s="6" t="s">
        <v>63</v>
      </c>
      <c r="C22" s="6"/>
      <c r="D22" s="6"/>
      <c r="E22" s="39" t="n">
        <v>56</v>
      </c>
      <c r="F22" s="39"/>
      <c r="G22" s="40" t="n">
        <v>4</v>
      </c>
      <c r="H22" s="40"/>
      <c r="I22" s="41" t="n">
        <v>52</v>
      </c>
      <c r="J22" s="41"/>
      <c r="K22" s="42" t="s">
        <v>64</v>
      </c>
      <c r="L22" s="42"/>
      <c r="M22" s="42"/>
      <c r="N22" s="42"/>
      <c r="O22" s="42"/>
      <c r="P22" s="42"/>
      <c r="Q22" s="42"/>
      <c r="R22" s="42"/>
      <c r="S22" s="42"/>
      <c r="T22" s="42"/>
    </row>
    <row r="23" customFormat="false" ht="15" hidden="false" customHeight="true" outlineLevel="0" collapsed="false">
      <c r="A23" s="2"/>
      <c r="B23" s="12" t="s">
        <v>65</v>
      </c>
      <c r="C23" s="12"/>
      <c r="D23" s="12"/>
      <c r="E23" s="56" t="n">
        <v>1224.56698214286</v>
      </c>
      <c r="F23" s="56"/>
      <c r="G23" s="57" t="n">
        <v>1020.885275</v>
      </c>
      <c r="H23" s="57"/>
      <c r="I23" s="58" t="n">
        <v>203.681707142857</v>
      </c>
      <c r="J23" s="58"/>
      <c r="K23" s="46" t="s">
        <v>66</v>
      </c>
      <c r="L23" s="46"/>
      <c r="M23" s="46"/>
      <c r="N23" s="46"/>
      <c r="O23" s="46"/>
      <c r="P23" s="46"/>
      <c r="Q23" s="46"/>
      <c r="R23" s="46"/>
      <c r="S23" s="46"/>
      <c r="T23" s="46"/>
    </row>
    <row r="24" customFormat="false" ht="15" hidden="false" customHeight="true" outlineLevel="0" collapsed="false">
      <c r="A24" s="2"/>
      <c r="B24" s="6" t="s">
        <v>67</v>
      </c>
      <c r="C24" s="6"/>
      <c r="D24" s="6"/>
      <c r="E24" s="59" t="n">
        <v>535.7480546875</v>
      </c>
      <c r="F24" s="59"/>
      <c r="G24" s="60" t="n">
        <v>68.0590183333333</v>
      </c>
      <c r="H24" s="60"/>
      <c r="I24" s="61" t="n">
        <v>467.689036354167</v>
      </c>
      <c r="J24" s="61"/>
      <c r="K24" s="42" t="s">
        <v>68</v>
      </c>
      <c r="L24" s="42"/>
      <c r="M24" s="42"/>
      <c r="N24" s="42"/>
      <c r="O24" s="42"/>
      <c r="P24" s="42"/>
      <c r="Q24" s="42"/>
      <c r="R24" s="42"/>
      <c r="S24" s="42"/>
      <c r="T24" s="42"/>
    </row>
    <row r="25" customFormat="false" ht="15" hidden="false" customHeight="tru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  <row r="26" customFormat="false" ht="15" hidden="false" customHeight="tru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customFormat="false" ht="15.75" hidden="false" customHeight="true" outlineLevel="0" collapsed="false">
      <c r="A27" s="2"/>
      <c r="B27" s="62" t="s">
        <v>69</v>
      </c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</row>
    <row r="28" customFormat="false" ht="15" hidden="false" customHeight="true" outlineLevel="0" collapsed="false">
      <c r="A28" s="2"/>
      <c r="B28" s="63" t="s">
        <v>70</v>
      </c>
      <c r="C28" s="63"/>
      <c r="D28" s="64" t="s">
        <v>4</v>
      </c>
      <c r="E28" s="64"/>
      <c r="F28" s="64" t="s">
        <v>71</v>
      </c>
      <c r="G28" s="64"/>
      <c r="H28" s="64" t="s">
        <v>72</v>
      </c>
      <c r="I28" s="64"/>
      <c r="J28" s="64" t="s">
        <v>6</v>
      </c>
      <c r="K28" s="64" t="s">
        <v>73</v>
      </c>
      <c r="L28" s="64" t="s">
        <v>74</v>
      </c>
      <c r="M28" s="64"/>
      <c r="N28" s="64" t="s">
        <v>75</v>
      </c>
      <c r="O28" s="64"/>
      <c r="P28" s="64" t="s">
        <v>76</v>
      </c>
      <c r="Q28" s="64"/>
      <c r="R28" s="64" t="s">
        <v>77</v>
      </c>
      <c r="S28" s="64"/>
      <c r="T28" s="64"/>
    </row>
    <row r="29" customFormat="false" ht="15" hidden="false" customHeight="true" outlineLevel="0" collapsed="false">
      <c r="A29" s="2"/>
      <c r="B29" s="6" t="s">
        <v>16</v>
      </c>
      <c r="C29" s="6"/>
      <c r="D29" s="39" t="n">
        <v>96</v>
      </c>
      <c r="E29" s="39"/>
      <c r="F29" s="65" t="n">
        <v>6</v>
      </c>
      <c r="G29" s="65"/>
      <c r="H29" s="66" t="n">
        <v>0.173285198555957</v>
      </c>
      <c r="I29" s="66"/>
      <c r="J29" s="67" t="n">
        <v>502</v>
      </c>
      <c r="K29" s="68" t="n">
        <v>5.22916666666667</v>
      </c>
      <c r="L29" s="69" t="n">
        <v>0.191235059760956</v>
      </c>
      <c r="M29" s="69"/>
      <c r="N29" s="68" t="n">
        <v>12.8645833333333</v>
      </c>
      <c r="O29" s="68"/>
      <c r="P29" s="70" t="n">
        <v>9692.02</v>
      </c>
      <c r="Q29" s="70"/>
      <c r="R29" s="66" t="n">
        <v>0.144607395163958</v>
      </c>
      <c r="S29" s="66"/>
      <c r="T29" s="66"/>
    </row>
    <row r="30" customFormat="false" ht="15" hidden="false" customHeight="true" outlineLevel="0" collapsed="false">
      <c r="A30" s="2"/>
      <c r="B30" s="12" t="s">
        <v>18</v>
      </c>
      <c r="C30" s="12"/>
      <c r="D30" s="71" t="n">
        <v>85</v>
      </c>
      <c r="E30" s="71"/>
      <c r="F30" s="72" t="n">
        <v>5.3125</v>
      </c>
      <c r="G30" s="72"/>
      <c r="H30" s="73" t="n">
        <v>0.153429602888087</v>
      </c>
      <c r="I30" s="73"/>
      <c r="J30" s="74" t="n">
        <v>1742</v>
      </c>
      <c r="K30" s="75" t="n">
        <v>20.4941176470588</v>
      </c>
      <c r="L30" s="76" t="n">
        <v>0.0487944890929966</v>
      </c>
      <c r="M30" s="76"/>
      <c r="N30" s="75" t="n">
        <v>12.2352941176471</v>
      </c>
      <c r="O30" s="75"/>
      <c r="P30" s="77" t="n">
        <v>8877.3</v>
      </c>
      <c r="Q30" s="77"/>
      <c r="R30" s="73" t="n">
        <v>0.132451566246149</v>
      </c>
      <c r="S30" s="73"/>
      <c r="T30" s="73"/>
    </row>
    <row r="31" customFormat="false" ht="15" hidden="false" customHeight="true" outlineLevel="0" collapsed="false">
      <c r="A31" s="2"/>
      <c r="B31" s="6" t="s">
        <v>15</v>
      </c>
      <c r="C31" s="6"/>
      <c r="D31" s="39" t="n">
        <v>77</v>
      </c>
      <c r="E31" s="39"/>
      <c r="F31" s="65" t="n">
        <v>4.8125</v>
      </c>
      <c r="G31" s="65"/>
      <c r="H31" s="66" t="n">
        <v>0.13898916967509</v>
      </c>
      <c r="I31" s="66"/>
      <c r="J31" s="67" t="n">
        <v>1548</v>
      </c>
      <c r="K31" s="68" t="n">
        <v>20.1038961038961</v>
      </c>
      <c r="L31" s="69" t="n">
        <v>0.0497416020671835</v>
      </c>
      <c r="M31" s="69"/>
      <c r="N31" s="68" t="n">
        <v>14.4285714285714</v>
      </c>
      <c r="O31" s="68"/>
      <c r="P31" s="70" t="n">
        <v>9739.65</v>
      </c>
      <c r="Q31" s="70"/>
      <c r="R31" s="66" t="n">
        <v>0.145318046837361</v>
      </c>
      <c r="S31" s="66"/>
      <c r="T31" s="66"/>
    </row>
    <row r="32" customFormat="false" ht="15" hidden="false" customHeight="true" outlineLevel="0" collapsed="false">
      <c r="A32" s="2"/>
      <c r="B32" s="12" t="s">
        <v>12</v>
      </c>
      <c r="C32" s="12"/>
      <c r="D32" s="71" t="n">
        <v>74</v>
      </c>
      <c r="E32" s="71"/>
      <c r="F32" s="72" t="n">
        <v>4.625</v>
      </c>
      <c r="G32" s="72"/>
      <c r="H32" s="73" t="n">
        <v>0.133574007220217</v>
      </c>
      <c r="I32" s="73"/>
      <c r="J32" s="74" t="n">
        <v>1600</v>
      </c>
      <c r="K32" s="75" t="n">
        <v>21.6216216216216</v>
      </c>
      <c r="L32" s="76" t="n">
        <v>0.04625</v>
      </c>
      <c r="M32" s="76"/>
      <c r="N32" s="75" t="n">
        <v>12.3918918918919</v>
      </c>
      <c r="O32" s="75"/>
      <c r="P32" s="77" t="n">
        <v>13980.78</v>
      </c>
      <c r="Q32" s="77"/>
      <c r="R32" s="73" t="n">
        <v>0.20859678149244</v>
      </c>
      <c r="S32" s="73"/>
      <c r="T32" s="73"/>
    </row>
    <row r="33" customFormat="false" ht="15" hidden="false" customHeight="true" outlineLevel="0" collapsed="false">
      <c r="A33" s="2"/>
      <c r="B33" s="6" t="s">
        <v>14</v>
      </c>
      <c r="C33" s="6"/>
      <c r="D33" s="39" t="n">
        <v>66</v>
      </c>
      <c r="E33" s="39"/>
      <c r="F33" s="65" t="n">
        <v>4.125</v>
      </c>
      <c r="G33" s="65"/>
      <c r="H33" s="66" t="n">
        <v>0.11913357400722</v>
      </c>
      <c r="I33" s="66"/>
      <c r="J33" s="67" t="n">
        <v>1388</v>
      </c>
      <c r="K33" s="68" t="n">
        <v>21.030303030303</v>
      </c>
      <c r="L33" s="69" t="n">
        <v>0.0475504322766571</v>
      </c>
      <c r="M33" s="69"/>
      <c r="N33" s="68" t="n">
        <v>17.0909090909091</v>
      </c>
      <c r="O33" s="68"/>
      <c r="P33" s="70" t="n">
        <v>3875.55</v>
      </c>
      <c r="Q33" s="70"/>
      <c r="R33" s="66" t="n">
        <v>0.0578241883867013</v>
      </c>
      <c r="S33" s="66"/>
      <c r="T33" s="66"/>
    </row>
    <row r="34" customFormat="false" ht="15" hidden="false" customHeight="true" outlineLevel="0" collapsed="false">
      <c r="A34" s="2"/>
      <c r="B34" s="12" t="s">
        <v>13</v>
      </c>
      <c r="C34" s="12"/>
      <c r="D34" s="71" t="n">
        <v>50</v>
      </c>
      <c r="E34" s="71"/>
      <c r="F34" s="72" t="n">
        <v>3.125</v>
      </c>
      <c r="G34" s="72"/>
      <c r="H34" s="73" t="n">
        <v>0.0902527075812274</v>
      </c>
      <c r="I34" s="73"/>
      <c r="J34" s="74" t="n">
        <v>1780</v>
      </c>
      <c r="K34" s="75" t="n">
        <v>35.6</v>
      </c>
      <c r="L34" s="76" t="n">
        <v>0.0280898876404494</v>
      </c>
      <c r="M34" s="76"/>
      <c r="N34" s="75" t="n">
        <v>26.78</v>
      </c>
      <c r="O34" s="75"/>
      <c r="P34" s="77" t="n">
        <v>5507.75</v>
      </c>
      <c r="Q34" s="77"/>
      <c r="R34" s="73" t="n">
        <v>0.0821770261219322</v>
      </c>
      <c r="S34" s="73"/>
      <c r="T34" s="73"/>
    </row>
    <row r="35" customFormat="false" ht="15" hidden="false" customHeight="true" outlineLevel="0" collapsed="false">
      <c r="A35" s="2"/>
      <c r="B35" s="6" t="s">
        <v>17</v>
      </c>
      <c r="C35" s="6"/>
      <c r="D35" s="39" t="n">
        <v>50</v>
      </c>
      <c r="E35" s="39"/>
      <c r="F35" s="65" t="n">
        <v>3.125</v>
      </c>
      <c r="G35" s="65"/>
      <c r="H35" s="66" t="n">
        <v>0.0902527075812274</v>
      </c>
      <c r="I35" s="66"/>
      <c r="J35" s="67" t="n">
        <v>696</v>
      </c>
      <c r="K35" s="68" t="n">
        <v>13.92</v>
      </c>
      <c r="L35" s="69" t="n">
        <v>0.0718390804597701</v>
      </c>
      <c r="M35" s="69"/>
      <c r="N35" s="68" t="n">
        <v>7.36</v>
      </c>
      <c r="O35" s="68"/>
      <c r="P35" s="70" t="n">
        <v>11397.94</v>
      </c>
      <c r="Q35" s="70"/>
      <c r="R35" s="66" t="n">
        <v>0.170060153985968</v>
      </c>
      <c r="S35" s="66"/>
      <c r="T35" s="66"/>
    </row>
    <row r="36" customFormat="false" ht="15" hidden="false" customHeight="true" outlineLevel="0" collapsed="false">
      <c r="A36" s="2"/>
      <c r="B36" s="12" t="s">
        <v>19</v>
      </c>
      <c r="C36" s="12"/>
      <c r="D36" s="71" t="n">
        <v>43</v>
      </c>
      <c r="E36" s="71"/>
      <c r="F36" s="72" t="n">
        <v>2.6875</v>
      </c>
      <c r="G36" s="72"/>
      <c r="H36" s="73" t="n">
        <v>0.0776173285198556</v>
      </c>
      <c r="I36" s="73"/>
      <c r="J36" s="74" t="n">
        <v>1530</v>
      </c>
      <c r="K36" s="75" t="n">
        <v>35.5813953488372</v>
      </c>
      <c r="L36" s="76" t="n">
        <v>0.0281045751633987</v>
      </c>
      <c r="M36" s="76"/>
      <c r="N36" s="75" t="n">
        <v>22.8372093023256</v>
      </c>
      <c r="O36" s="75"/>
      <c r="P36" s="77" t="n">
        <v>3952</v>
      </c>
      <c r="Q36" s="77"/>
      <c r="R36" s="73" t="n">
        <v>0.0589648417654897</v>
      </c>
      <c r="S36" s="73"/>
      <c r="T36" s="73"/>
    </row>
    <row r="37" customFormat="false" ht="15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</row>
    <row r="38" customFormat="false" ht="15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</row>
    <row r="39" customFormat="false" ht="15.75" hidden="false" customHeight="true" outlineLevel="0" collapsed="false">
      <c r="A39" s="2"/>
      <c r="B39" s="78" t="s">
        <v>78</v>
      </c>
      <c r="C39" s="78"/>
      <c r="D39" s="78"/>
      <c r="E39" s="78"/>
      <c r="F39" s="78"/>
      <c r="G39" s="78"/>
      <c r="H39" s="78"/>
      <c r="I39" s="78"/>
      <c r="J39" s="78"/>
      <c r="K39" s="78"/>
      <c r="L39" s="78"/>
      <c r="M39" s="78"/>
      <c r="N39" s="78"/>
      <c r="O39" s="78"/>
      <c r="P39" s="78"/>
      <c r="Q39" s="78"/>
      <c r="R39" s="78"/>
      <c r="S39" s="78"/>
      <c r="T39" s="78"/>
    </row>
    <row r="40" customFormat="false" ht="15" hidden="false" customHeight="true" outlineLevel="0" collapsed="false">
      <c r="A40" s="2"/>
      <c r="B40" s="79" t="s">
        <v>70</v>
      </c>
      <c r="C40" s="79"/>
      <c r="D40" s="80" t="s">
        <v>4</v>
      </c>
      <c r="E40" s="80"/>
      <c r="F40" s="80" t="s">
        <v>71</v>
      </c>
      <c r="G40" s="80"/>
      <c r="H40" s="80" t="s">
        <v>72</v>
      </c>
      <c r="I40" s="80"/>
      <c r="J40" s="80" t="s">
        <v>6</v>
      </c>
      <c r="K40" s="80" t="s">
        <v>73</v>
      </c>
      <c r="L40" s="80" t="s">
        <v>74</v>
      </c>
      <c r="M40" s="80"/>
      <c r="N40" s="80" t="s">
        <v>75</v>
      </c>
      <c r="O40" s="80"/>
      <c r="P40" s="80" t="s">
        <v>76</v>
      </c>
      <c r="Q40" s="80"/>
      <c r="R40" s="80" t="s">
        <v>77</v>
      </c>
      <c r="S40" s="80"/>
      <c r="T40" s="80"/>
    </row>
    <row r="41" customFormat="false" ht="15" hidden="false" customHeight="true" outlineLevel="0" collapsed="false">
      <c r="A41" s="2"/>
      <c r="B41" s="6" t="s">
        <v>26</v>
      </c>
      <c r="C41" s="6"/>
      <c r="D41" s="40" t="n">
        <v>97</v>
      </c>
      <c r="E41" s="40"/>
      <c r="F41" s="65" t="n">
        <v>6.46666666666667</v>
      </c>
      <c r="G41" s="65"/>
      <c r="H41" s="66" t="n">
        <v>0.276353276353276</v>
      </c>
      <c r="I41" s="66"/>
      <c r="J41" s="81" t="s">
        <v>27</v>
      </c>
      <c r="K41" s="81" t="s">
        <v>27</v>
      </c>
      <c r="L41" s="81" t="s">
        <v>27</v>
      </c>
      <c r="M41" s="81"/>
      <c r="N41" s="68" t="n">
        <v>14.9896907216495</v>
      </c>
      <c r="O41" s="68"/>
      <c r="P41" s="70" t="n">
        <v>999.03</v>
      </c>
      <c r="Q41" s="70"/>
      <c r="R41" s="66" t="n">
        <v>0.244647426871227</v>
      </c>
      <c r="S41" s="66"/>
      <c r="T41" s="66"/>
    </row>
    <row r="42" customFormat="false" ht="15" hidden="false" customHeight="true" outlineLevel="0" collapsed="false">
      <c r="A42" s="2"/>
      <c r="B42" s="12" t="s">
        <v>24</v>
      </c>
      <c r="C42" s="12"/>
      <c r="D42" s="82" t="n">
        <v>76</v>
      </c>
      <c r="E42" s="82"/>
      <c r="F42" s="72" t="n">
        <v>5.06666666666667</v>
      </c>
      <c r="G42" s="72"/>
      <c r="H42" s="73" t="n">
        <v>0.216524216524217</v>
      </c>
      <c r="I42" s="73"/>
      <c r="J42" s="74" t="n">
        <v>2681</v>
      </c>
      <c r="K42" s="75" t="n">
        <v>35.2763157894737</v>
      </c>
      <c r="L42" s="76" t="n">
        <v>0.0283476314807908</v>
      </c>
      <c r="M42" s="76"/>
      <c r="N42" s="75" t="n">
        <v>20.4736842105263</v>
      </c>
      <c r="O42" s="75"/>
      <c r="P42" s="77" t="n">
        <v>1119.2</v>
      </c>
      <c r="Q42" s="77"/>
      <c r="R42" s="73" t="n">
        <v>0.274075253149833</v>
      </c>
      <c r="S42" s="73"/>
      <c r="T42" s="73"/>
    </row>
    <row r="43" customFormat="false" ht="15" hidden="false" customHeight="true" outlineLevel="0" collapsed="false">
      <c r="A43" s="2"/>
      <c r="B43" s="6" t="s">
        <v>25</v>
      </c>
      <c r="C43" s="6"/>
      <c r="D43" s="40" t="n">
        <v>68</v>
      </c>
      <c r="E43" s="40"/>
      <c r="F43" s="65" t="n">
        <v>4.53333333333333</v>
      </c>
      <c r="G43" s="65"/>
      <c r="H43" s="66" t="n">
        <v>0.193732193732194</v>
      </c>
      <c r="I43" s="66"/>
      <c r="J43" s="67" t="n">
        <v>3003</v>
      </c>
      <c r="K43" s="68" t="n">
        <v>44.1617647058824</v>
      </c>
      <c r="L43" s="69" t="n">
        <v>0.0226440226440226</v>
      </c>
      <c r="M43" s="69"/>
      <c r="N43" s="68" t="n">
        <v>29.5294117647059</v>
      </c>
      <c r="O43" s="68"/>
      <c r="P43" s="70" t="n">
        <v>1000.01</v>
      </c>
      <c r="Q43" s="70"/>
      <c r="R43" s="66" t="n">
        <v>0.244887414137209</v>
      </c>
      <c r="S43" s="66"/>
      <c r="T43" s="66"/>
    </row>
    <row r="44" customFormat="false" ht="15" hidden="false" customHeight="true" outlineLevel="0" collapsed="false">
      <c r="A44" s="2"/>
      <c r="B44" s="12" t="s">
        <v>28</v>
      </c>
      <c r="C44" s="12"/>
      <c r="D44" s="82" t="n">
        <v>42</v>
      </c>
      <c r="E44" s="82"/>
      <c r="F44" s="72" t="n">
        <v>2.8</v>
      </c>
      <c r="G44" s="72"/>
      <c r="H44" s="73" t="n">
        <v>0.11965811965812</v>
      </c>
      <c r="I44" s="73"/>
      <c r="J44" s="74" t="n">
        <v>1518</v>
      </c>
      <c r="K44" s="75" t="n">
        <v>36.1428571428572</v>
      </c>
      <c r="L44" s="76" t="n">
        <v>0.0276679841897233</v>
      </c>
      <c r="M44" s="76"/>
      <c r="N44" s="75" t="n">
        <v>30.0238095238095</v>
      </c>
      <c r="O44" s="75"/>
      <c r="P44" s="77" t="n">
        <v>965.31</v>
      </c>
      <c r="Q44" s="77"/>
      <c r="R44" s="73" t="n">
        <v>0.236389905841731</v>
      </c>
      <c r="S44" s="73"/>
      <c r="T44" s="73"/>
    </row>
    <row r="45" customFormat="false" ht="1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</row>
    <row r="46" customFormat="false" ht="15" hidden="false" customHeight="true" outlineLevel="0" collapsed="false">
      <c r="A46" s="83"/>
      <c r="B46" s="83"/>
      <c r="C46" s="83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</row>
    <row r="47" customFormat="false" ht="27.75" hidden="false" customHeight="true" outlineLevel="0" collapsed="false">
      <c r="A47" s="83"/>
      <c r="B47" s="84" t="s">
        <v>79</v>
      </c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</row>
    <row r="48" customFormat="false" ht="24" hidden="false" customHeight="true" outlineLevel="0" collapsed="false">
      <c r="A48" s="83"/>
      <c r="B48" s="85" t="s">
        <v>80</v>
      </c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</row>
    <row r="49" customFormat="false" ht="24" hidden="false" customHeight="true" outlineLevel="0" collapsed="false">
      <c r="A49" s="83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</row>
    <row r="50" customFormat="false" ht="21.75" hidden="false" customHeight="true" outlineLevel="0" collapsed="false">
      <c r="A50" s="83"/>
      <c r="B50" s="83"/>
      <c r="C50" s="83"/>
      <c r="D50" s="83"/>
      <c r="E50" s="83"/>
      <c r="F50" s="83"/>
      <c r="G50" s="83"/>
      <c r="H50" s="83"/>
      <c r="I50" s="83"/>
      <c r="J50" s="83"/>
      <c r="K50" s="83"/>
      <c r="L50" s="83"/>
      <c r="M50" s="83"/>
      <c r="N50" s="83"/>
      <c r="O50" s="83"/>
      <c r="P50" s="83"/>
      <c r="Q50" s="83"/>
      <c r="R50" s="83"/>
      <c r="S50" s="83"/>
      <c r="T50" s="83"/>
    </row>
    <row r="51" customFormat="false" ht="15" hidden="false" customHeight="true" outlineLevel="0" collapsed="false">
      <c r="A51" s="83"/>
      <c r="B51" s="86" t="s">
        <v>81</v>
      </c>
      <c r="C51" s="86"/>
      <c r="D51" s="86"/>
      <c r="E51" s="87" t="s">
        <v>82</v>
      </c>
      <c r="F51" s="87"/>
      <c r="G51" s="87"/>
      <c r="H51" s="87" t="s">
        <v>83</v>
      </c>
      <c r="I51" s="87"/>
      <c r="J51" s="87"/>
      <c r="K51" s="87" t="s">
        <v>84</v>
      </c>
      <c r="L51" s="87"/>
      <c r="M51" s="87" t="s">
        <v>85</v>
      </c>
      <c r="N51" s="87"/>
      <c r="O51" s="87"/>
      <c r="P51" s="87"/>
      <c r="Q51" s="87"/>
      <c r="R51" s="87"/>
      <c r="S51" s="87"/>
      <c r="T51" s="87"/>
    </row>
    <row r="52" customFormat="false" ht="15.75" hidden="false" customHeight="true" outlineLevel="0" collapsed="false">
      <c r="A52" s="83"/>
      <c r="B52" s="88" t="s">
        <v>86</v>
      </c>
      <c r="C52" s="88"/>
      <c r="D52" s="88"/>
      <c r="E52" s="89" t="n">
        <v>21.2</v>
      </c>
      <c r="F52" s="89"/>
      <c r="G52" s="89"/>
      <c r="H52" s="90" t="n">
        <v>24.2</v>
      </c>
      <c r="I52" s="90"/>
      <c r="J52" s="90"/>
      <c r="K52" s="51" t="n">
        <v>3</v>
      </c>
      <c r="L52" s="51"/>
      <c r="M52" s="42" t="s">
        <v>87</v>
      </c>
      <c r="N52" s="42"/>
      <c r="O52" s="42"/>
      <c r="P52" s="42"/>
      <c r="Q52" s="42"/>
      <c r="R52" s="42"/>
      <c r="S52" s="42"/>
      <c r="T52" s="42"/>
    </row>
    <row r="53" customFormat="false" ht="21.75" hidden="false" customHeight="true" outlineLevel="0" collapsed="false">
      <c r="A53" s="83"/>
      <c r="B53" s="91" t="s">
        <v>58</v>
      </c>
      <c r="C53" s="91"/>
      <c r="D53" s="91"/>
      <c r="E53" s="92" t="n">
        <v>0.0473</v>
      </c>
      <c r="F53" s="92"/>
      <c r="G53" s="92"/>
      <c r="H53" s="93" t="n">
        <v>0.0413</v>
      </c>
      <c r="I53" s="93"/>
      <c r="J53" s="93"/>
      <c r="K53" s="54" t="n">
        <v>-0.006</v>
      </c>
      <c r="L53" s="54"/>
      <c r="M53" s="46" t="s">
        <v>88</v>
      </c>
      <c r="N53" s="46"/>
      <c r="O53" s="46"/>
      <c r="P53" s="46"/>
      <c r="Q53" s="46"/>
      <c r="R53" s="46"/>
      <c r="S53" s="46"/>
      <c r="T53" s="46"/>
    </row>
    <row r="54" customFormat="false" ht="21.75" hidden="false" customHeight="true" outlineLevel="0" collapsed="false">
      <c r="A54" s="83"/>
      <c r="B54" s="88" t="s">
        <v>89</v>
      </c>
      <c r="C54" s="88"/>
      <c r="D54" s="88"/>
      <c r="E54" s="89" t="n">
        <v>15.8</v>
      </c>
      <c r="F54" s="89"/>
      <c r="G54" s="89"/>
      <c r="H54" s="90" t="n">
        <v>20.3</v>
      </c>
      <c r="I54" s="90"/>
      <c r="J54" s="90"/>
      <c r="K54" s="51" t="n">
        <v>4.5</v>
      </c>
      <c r="L54" s="51"/>
      <c r="M54" s="42" t="s">
        <v>90</v>
      </c>
      <c r="N54" s="42"/>
      <c r="O54" s="42"/>
      <c r="P54" s="42"/>
      <c r="Q54" s="42"/>
      <c r="R54" s="42"/>
      <c r="S54" s="42"/>
      <c r="T54" s="42"/>
    </row>
    <row r="55" customFormat="false" ht="15" hidden="false" customHeight="true" outlineLevel="0" collapsed="false">
      <c r="A55" s="83"/>
      <c r="B55" s="91" t="s">
        <v>51</v>
      </c>
      <c r="C55" s="91"/>
      <c r="D55" s="91"/>
      <c r="E55" s="94" t="n">
        <v>4.33</v>
      </c>
      <c r="F55" s="94"/>
      <c r="G55" s="94"/>
      <c r="H55" s="95" t="n">
        <v>4.69</v>
      </c>
      <c r="I55" s="95"/>
      <c r="J55" s="95"/>
      <c r="K55" s="96" t="n">
        <v>0.36</v>
      </c>
      <c r="L55" s="96"/>
      <c r="M55" s="46" t="s">
        <v>91</v>
      </c>
      <c r="N55" s="46"/>
      <c r="O55" s="46"/>
      <c r="P55" s="46"/>
      <c r="Q55" s="46"/>
      <c r="R55" s="46"/>
      <c r="S55" s="46"/>
      <c r="T55" s="46"/>
    </row>
    <row r="56" customFormat="false" ht="15.75" hidden="false" customHeight="true" outlineLevel="0" collapsed="false">
      <c r="A56" s="83"/>
      <c r="B56" s="88" t="s">
        <v>55</v>
      </c>
      <c r="C56" s="88"/>
      <c r="D56" s="88"/>
      <c r="E56" s="89" t="n">
        <v>91.6</v>
      </c>
      <c r="F56" s="89"/>
      <c r="G56" s="89"/>
      <c r="H56" s="90" t="n">
        <v>141.7</v>
      </c>
      <c r="I56" s="90"/>
      <c r="J56" s="90"/>
      <c r="K56" s="51" t="n">
        <v>50.1</v>
      </c>
      <c r="L56" s="51"/>
      <c r="M56" s="42" t="s">
        <v>92</v>
      </c>
      <c r="N56" s="42"/>
      <c r="O56" s="42"/>
      <c r="P56" s="42"/>
      <c r="Q56" s="42"/>
      <c r="R56" s="42"/>
      <c r="S56" s="42"/>
      <c r="T56" s="42"/>
    </row>
    <row r="57" customFormat="false" ht="21.75" hidden="false" customHeight="true" outlineLevel="0" collapsed="false">
      <c r="A57" s="83"/>
      <c r="B57" s="83"/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</row>
    <row r="58" customFormat="false" ht="21.75" hidden="false" customHeight="true" outlineLevel="0" collapsed="false">
      <c r="A58" s="83"/>
      <c r="B58" s="83"/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</row>
    <row r="59" customFormat="false" ht="25.5" hidden="false" customHeight="true" outlineLevel="0" collapsed="false">
      <c r="A59" s="83"/>
      <c r="B59" s="97" t="s">
        <v>93</v>
      </c>
      <c r="C59" s="97"/>
      <c r="D59" s="97"/>
      <c r="E59" s="97"/>
      <c r="F59" s="97"/>
      <c r="G59" s="97"/>
      <c r="H59" s="97"/>
      <c r="I59" s="97"/>
      <c r="J59" s="97"/>
      <c r="K59" s="97"/>
      <c r="L59" s="97"/>
      <c r="M59" s="97"/>
      <c r="N59" s="97"/>
      <c r="O59" s="97"/>
      <c r="P59" s="97"/>
      <c r="Q59" s="97"/>
      <c r="R59" s="97"/>
      <c r="S59" s="97"/>
      <c r="T59" s="97"/>
    </row>
    <row r="60" customFormat="false" ht="15.75" hidden="false" customHeight="true" outlineLevel="0" collapsed="false">
      <c r="A60" s="83"/>
      <c r="B60" s="98" t="s">
        <v>94</v>
      </c>
      <c r="C60" s="98"/>
      <c r="D60" s="98"/>
      <c r="E60" s="98"/>
      <c r="F60" s="98"/>
      <c r="G60" s="98"/>
      <c r="H60" s="98"/>
      <c r="I60" s="98"/>
      <c r="J60" s="98"/>
      <c r="K60" s="98"/>
      <c r="L60" s="98"/>
      <c r="M60" s="98"/>
      <c r="N60" s="99" t="s">
        <v>95</v>
      </c>
      <c r="O60" s="99"/>
      <c r="P60" s="99"/>
      <c r="Q60" s="99"/>
      <c r="R60" s="99"/>
      <c r="S60" s="99"/>
      <c r="T60" s="99"/>
    </row>
    <row r="61" customFormat="false" ht="19.5" hidden="false" customHeight="true" outlineLevel="0" collapsed="false">
      <c r="A61" s="83"/>
      <c r="B61" s="100" t="s">
        <v>96</v>
      </c>
      <c r="C61" s="100"/>
      <c r="D61" s="100"/>
      <c r="E61" s="100"/>
      <c r="F61" s="100"/>
      <c r="G61" s="100"/>
      <c r="H61" s="100"/>
      <c r="I61" s="100"/>
      <c r="J61" s="100"/>
      <c r="K61" s="100"/>
      <c r="L61" s="100"/>
      <c r="M61" s="100"/>
      <c r="N61" s="100"/>
      <c r="O61" s="100"/>
      <c r="P61" s="100"/>
      <c r="Q61" s="100"/>
      <c r="R61" s="100"/>
      <c r="S61" s="100"/>
      <c r="T61" s="100"/>
    </row>
    <row r="62" customFormat="false" ht="19.5" hidden="false" customHeight="true" outlineLevel="0" collapsed="false">
      <c r="A62" s="83"/>
      <c r="B62" s="101" t="s">
        <v>97</v>
      </c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  <c r="O62" s="101"/>
      <c r="P62" s="101"/>
      <c r="Q62" s="101"/>
      <c r="R62" s="101"/>
      <c r="S62" s="101"/>
      <c r="T62" s="101"/>
    </row>
    <row r="63" customFormat="false" ht="19.5" hidden="false" customHeight="true" outlineLevel="0" collapsed="false">
      <c r="A63" s="83"/>
      <c r="B63" s="101"/>
      <c r="C63" s="101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  <c r="O63" s="101"/>
      <c r="P63" s="101"/>
      <c r="Q63" s="101"/>
      <c r="R63" s="101"/>
      <c r="S63" s="101"/>
      <c r="T63" s="101"/>
    </row>
    <row r="64" customFormat="false" ht="19.5" hidden="false" customHeight="true" outlineLevel="0" collapsed="false">
      <c r="A64" s="83"/>
      <c r="B64" s="101"/>
      <c r="C64" s="101"/>
      <c r="D64" s="101"/>
      <c r="E64" s="101"/>
      <c r="F64" s="101"/>
      <c r="G64" s="101"/>
      <c r="H64" s="101"/>
      <c r="I64" s="101"/>
      <c r="J64" s="101"/>
      <c r="K64" s="101"/>
      <c r="L64" s="101"/>
      <c r="M64" s="101"/>
      <c r="N64" s="101"/>
      <c r="O64" s="101"/>
      <c r="P64" s="101"/>
      <c r="Q64" s="101"/>
      <c r="R64" s="101"/>
      <c r="S64" s="101"/>
      <c r="T64" s="101"/>
    </row>
    <row r="65" customFormat="false" ht="21.75" hidden="false" customHeight="true" outlineLevel="0" collapsed="false">
      <c r="A65" s="83"/>
      <c r="B65" s="83"/>
      <c r="C65" s="83"/>
      <c r="D65" s="83"/>
      <c r="E65" s="83"/>
      <c r="F65" s="83"/>
      <c r="G65" s="83"/>
      <c r="H65" s="83"/>
      <c r="I65" s="83"/>
      <c r="J65" s="83"/>
      <c r="K65" s="83"/>
      <c r="L65" s="83"/>
      <c r="M65" s="83"/>
      <c r="N65" s="83"/>
      <c r="O65" s="83"/>
      <c r="P65" s="83"/>
      <c r="Q65" s="83"/>
      <c r="R65" s="83"/>
      <c r="S65" s="83"/>
      <c r="T65" s="83"/>
    </row>
    <row r="66" customFormat="false" ht="21.75" hidden="false" customHeight="true" outlineLevel="0" collapsed="false">
      <c r="A66" s="83"/>
      <c r="B66" s="102" t="s">
        <v>98</v>
      </c>
      <c r="C66" s="102"/>
      <c r="D66" s="102"/>
      <c r="E66" s="102"/>
      <c r="F66" s="102"/>
      <c r="G66" s="102"/>
      <c r="H66" s="102"/>
      <c r="I66" s="102"/>
      <c r="J66" s="102"/>
      <c r="K66" s="102"/>
      <c r="L66" s="102"/>
      <c r="M66" s="102"/>
      <c r="N66" s="103" t="s">
        <v>99</v>
      </c>
      <c r="O66" s="103"/>
      <c r="P66" s="103"/>
      <c r="Q66" s="103"/>
      <c r="R66" s="103"/>
      <c r="S66" s="103"/>
      <c r="T66" s="103"/>
    </row>
    <row r="67" customFormat="false" ht="19.5" hidden="false" customHeight="true" outlineLevel="0" collapsed="false">
      <c r="A67" s="83"/>
      <c r="B67" s="104" t="s">
        <v>100</v>
      </c>
      <c r="C67" s="104"/>
      <c r="D67" s="104"/>
      <c r="E67" s="104"/>
      <c r="F67" s="104"/>
      <c r="G67" s="104"/>
      <c r="H67" s="104"/>
      <c r="I67" s="104"/>
      <c r="J67" s="104"/>
      <c r="K67" s="104"/>
      <c r="L67" s="104"/>
      <c r="M67" s="104"/>
      <c r="N67" s="104"/>
      <c r="O67" s="104"/>
      <c r="P67" s="104"/>
      <c r="Q67" s="104"/>
      <c r="R67" s="104"/>
      <c r="S67" s="104"/>
      <c r="T67" s="104"/>
    </row>
    <row r="68" customFormat="false" ht="19.5" hidden="false" customHeight="true" outlineLevel="0" collapsed="false">
      <c r="A68" s="83"/>
      <c r="B68" s="105" t="s">
        <v>101</v>
      </c>
      <c r="C68" s="105"/>
      <c r="D68" s="105"/>
      <c r="E68" s="105"/>
      <c r="F68" s="105"/>
      <c r="G68" s="105"/>
      <c r="H68" s="105"/>
      <c r="I68" s="105"/>
      <c r="J68" s="105"/>
      <c r="K68" s="105"/>
      <c r="L68" s="105"/>
      <c r="M68" s="105"/>
      <c r="N68" s="105"/>
      <c r="O68" s="105"/>
      <c r="P68" s="105"/>
      <c r="Q68" s="105"/>
      <c r="R68" s="105"/>
      <c r="S68" s="105"/>
      <c r="T68" s="105"/>
    </row>
    <row r="69" customFormat="false" ht="19.5" hidden="false" customHeight="true" outlineLevel="0" collapsed="false">
      <c r="A69" s="83"/>
      <c r="B69" s="105"/>
      <c r="C69" s="105"/>
      <c r="D69" s="105"/>
      <c r="E69" s="105"/>
      <c r="F69" s="105"/>
      <c r="G69" s="105"/>
      <c r="H69" s="105"/>
      <c r="I69" s="105"/>
      <c r="J69" s="105"/>
      <c r="K69" s="105"/>
      <c r="L69" s="105"/>
      <c r="M69" s="105"/>
      <c r="N69" s="105"/>
      <c r="O69" s="105"/>
      <c r="P69" s="105"/>
      <c r="Q69" s="105"/>
      <c r="R69" s="105"/>
      <c r="S69" s="105"/>
      <c r="T69" s="105"/>
    </row>
    <row r="70" customFormat="false" ht="19.5" hidden="false" customHeight="true" outlineLevel="0" collapsed="false">
      <c r="A70" s="83"/>
      <c r="B70" s="105"/>
      <c r="C70" s="105"/>
      <c r="D70" s="105"/>
      <c r="E70" s="105"/>
      <c r="F70" s="105"/>
      <c r="G70" s="105"/>
      <c r="H70" s="105"/>
      <c r="I70" s="105"/>
      <c r="J70" s="105"/>
      <c r="K70" s="105"/>
      <c r="L70" s="105"/>
      <c r="M70" s="105"/>
      <c r="N70" s="105"/>
      <c r="O70" s="105"/>
      <c r="P70" s="105"/>
      <c r="Q70" s="105"/>
      <c r="R70" s="105"/>
      <c r="S70" s="105"/>
      <c r="T70" s="105"/>
    </row>
    <row r="71" customFormat="false" ht="15" hidden="false" customHeight="true" outlineLevel="0" collapsed="false">
      <c r="A71" s="83"/>
      <c r="B71" s="83"/>
      <c r="C71" s="83"/>
      <c r="D71" s="83"/>
      <c r="E71" s="83"/>
      <c r="F71" s="83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</row>
    <row r="72" customFormat="false" ht="15" hidden="false" customHeight="true" outlineLevel="0" collapsed="false">
      <c r="A72" s="83"/>
      <c r="B72" s="106" t="s">
        <v>102</v>
      </c>
      <c r="C72" s="106"/>
      <c r="D72" s="106"/>
      <c r="E72" s="106"/>
      <c r="F72" s="106"/>
      <c r="G72" s="106"/>
      <c r="H72" s="106"/>
      <c r="I72" s="106"/>
      <c r="J72" s="106"/>
      <c r="K72" s="106"/>
      <c r="L72" s="106"/>
      <c r="M72" s="106"/>
      <c r="N72" s="107" t="s">
        <v>103</v>
      </c>
      <c r="O72" s="107"/>
      <c r="P72" s="107"/>
      <c r="Q72" s="107"/>
      <c r="R72" s="107"/>
      <c r="S72" s="107"/>
      <c r="T72" s="107"/>
    </row>
    <row r="73" customFormat="false" ht="19.5" hidden="false" customHeight="true" outlineLevel="0" collapsed="false">
      <c r="A73" s="83"/>
      <c r="B73" s="108" t="s">
        <v>104</v>
      </c>
      <c r="C73" s="108"/>
      <c r="D73" s="108"/>
      <c r="E73" s="108"/>
      <c r="F73" s="108"/>
      <c r="G73" s="108"/>
      <c r="H73" s="108"/>
      <c r="I73" s="108"/>
      <c r="J73" s="108"/>
      <c r="K73" s="108"/>
      <c r="L73" s="108"/>
      <c r="M73" s="108"/>
      <c r="N73" s="108"/>
      <c r="O73" s="108"/>
      <c r="P73" s="108"/>
      <c r="Q73" s="108"/>
      <c r="R73" s="108"/>
      <c r="S73" s="108"/>
      <c r="T73" s="108"/>
    </row>
    <row r="74" customFormat="false" ht="19.5" hidden="false" customHeight="true" outlineLevel="0" collapsed="false">
      <c r="A74" s="83"/>
      <c r="B74" s="109" t="s">
        <v>105</v>
      </c>
      <c r="C74" s="109"/>
      <c r="D74" s="109"/>
      <c r="E74" s="109"/>
      <c r="F74" s="109"/>
      <c r="G74" s="109"/>
      <c r="H74" s="109"/>
      <c r="I74" s="109"/>
      <c r="J74" s="109"/>
      <c r="K74" s="109"/>
      <c r="L74" s="109"/>
      <c r="M74" s="109"/>
      <c r="N74" s="109"/>
      <c r="O74" s="109"/>
      <c r="P74" s="109"/>
      <c r="Q74" s="109"/>
      <c r="R74" s="109"/>
      <c r="S74" s="109"/>
      <c r="T74" s="109"/>
    </row>
    <row r="75" customFormat="false" ht="19.5" hidden="false" customHeight="true" outlineLevel="0" collapsed="false">
      <c r="A75" s="83"/>
      <c r="B75" s="109"/>
      <c r="C75" s="109"/>
      <c r="D75" s="109"/>
      <c r="E75" s="109"/>
      <c r="F75" s="109"/>
      <c r="G75" s="109"/>
      <c r="H75" s="109"/>
      <c r="I75" s="109"/>
      <c r="J75" s="109"/>
      <c r="K75" s="109"/>
      <c r="L75" s="109"/>
      <c r="M75" s="109"/>
      <c r="N75" s="109"/>
      <c r="O75" s="109"/>
      <c r="P75" s="109"/>
      <c r="Q75" s="109"/>
      <c r="R75" s="109"/>
      <c r="S75" s="109"/>
      <c r="T75" s="109"/>
    </row>
    <row r="76" customFormat="false" ht="19.5" hidden="false" customHeight="true" outlineLevel="0" collapsed="false">
      <c r="A76" s="83"/>
      <c r="B76" s="109"/>
      <c r="C76" s="109"/>
      <c r="D76" s="109"/>
      <c r="E76" s="109"/>
      <c r="F76" s="109"/>
      <c r="G76" s="109"/>
      <c r="H76" s="109"/>
      <c r="I76" s="109"/>
      <c r="J76" s="109"/>
      <c r="K76" s="109"/>
      <c r="L76" s="109"/>
      <c r="M76" s="109"/>
      <c r="N76" s="109"/>
      <c r="O76" s="109"/>
      <c r="P76" s="109"/>
      <c r="Q76" s="109"/>
      <c r="R76" s="109"/>
      <c r="S76" s="109"/>
      <c r="T76" s="109"/>
    </row>
    <row r="77" customFormat="false" ht="15" hidden="false" customHeight="true" outlineLevel="0" collapsed="false">
      <c r="A77" s="83"/>
      <c r="B77" s="83"/>
      <c r="C77" s="83"/>
      <c r="D77" s="83"/>
      <c r="E77" s="83"/>
      <c r="F77" s="83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</row>
    <row r="78" customFormat="false" ht="15" hidden="false" customHeight="true" outlineLevel="0" collapsed="false">
      <c r="A78" s="83"/>
      <c r="B78" s="106" t="s">
        <v>106</v>
      </c>
      <c r="C78" s="106"/>
      <c r="D78" s="106"/>
      <c r="E78" s="106"/>
      <c r="F78" s="106"/>
      <c r="G78" s="106"/>
      <c r="H78" s="106"/>
      <c r="I78" s="106"/>
      <c r="J78" s="106"/>
      <c r="K78" s="106"/>
      <c r="L78" s="106"/>
      <c r="M78" s="106"/>
      <c r="N78" s="107" t="s">
        <v>107</v>
      </c>
      <c r="O78" s="107"/>
      <c r="P78" s="107"/>
      <c r="Q78" s="107"/>
      <c r="R78" s="107"/>
      <c r="S78" s="107"/>
      <c r="T78" s="107"/>
    </row>
    <row r="79" customFormat="false" ht="19.5" hidden="false" customHeight="true" outlineLevel="0" collapsed="false">
      <c r="A79" s="83"/>
      <c r="B79" s="108" t="s">
        <v>108</v>
      </c>
      <c r="C79" s="108"/>
      <c r="D79" s="108"/>
      <c r="E79" s="108"/>
      <c r="F79" s="108"/>
      <c r="G79" s="108"/>
      <c r="H79" s="108"/>
      <c r="I79" s="108"/>
      <c r="J79" s="108"/>
      <c r="K79" s="108"/>
      <c r="L79" s="108"/>
      <c r="M79" s="108"/>
      <c r="N79" s="108"/>
      <c r="O79" s="108"/>
      <c r="P79" s="108"/>
      <c r="Q79" s="108"/>
      <c r="R79" s="108"/>
      <c r="S79" s="108"/>
      <c r="T79" s="108"/>
    </row>
    <row r="80" customFormat="false" ht="19.5" hidden="false" customHeight="true" outlineLevel="0" collapsed="false">
      <c r="A80" s="83"/>
      <c r="B80" s="109" t="s">
        <v>109</v>
      </c>
      <c r="C80" s="109"/>
      <c r="D80" s="109"/>
      <c r="E80" s="109"/>
      <c r="F80" s="109"/>
      <c r="G80" s="109"/>
      <c r="H80" s="109"/>
      <c r="I80" s="109"/>
      <c r="J80" s="109"/>
      <c r="K80" s="109"/>
      <c r="L80" s="109"/>
      <c r="M80" s="109"/>
      <c r="N80" s="109"/>
      <c r="O80" s="109"/>
      <c r="P80" s="109"/>
      <c r="Q80" s="109"/>
      <c r="R80" s="109"/>
      <c r="S80" s="109"/>
      <c r="T80" s="109"/>
    </row>
    <row r="81" customFormat="false" ht="19.5" hidden="false" customHeight="true" outlineLevel="0" collapsed="false">
      <c r="A81" s="83"/>
      <c r="B81" s="109"/>
      <c r="C81" s="109"/>
      <c r="D81" s="109"/>
      <c r="E81" s="109"/>
      <c r="F81" s="109"/>
      <c r="G81" s="109"/>
      <c r="H81" s="109"/>
      <c r="I81" s="109"/>
      <c r="J81" s="109"/>
      <c r="K81" s="109"/>
      <c r="L81" s="109"/>
      <c r="M81" s="109"/>
      <c r="N81" s="109"/>
      <c r="O81" s="109"/>
      <c r="P81" s="109"/>
      <c r="Q81" s="109"/>
      <c r="R81" s="109"/>
      <c r="S81" s="109"/>
      <c r="T81" s="109"/>
    </row>
    <row r="82" customFormat="false" ht="19.5" hidden="false" customHeight="true" outlineLevel="0" collapsed="false">
      <c r="A82" s="83"/>
      <c r="B82" s="109"/>
      <c r="C82" s="109"/>
      <c r="D82" s="109"/>
      <c r="E82" s="109"/>
      <c r="F82" s="109"/>
      <c r="G82" s="109"/>
      <c r="H82" s="109"/>
      <c r="I82" s="109"/>
      <c r="J82" s="109"/>
      <c r="K82" s="109"/>
      <c r="L82" s="109"/>
      <c r="M82" s="109"/>
      <c r="N82" s="109"/>
      <c r="O82" s="109"/>
      <c r="P82" s="109"/>
      <c r="Q82" s="109"/>
      <c r="R82" s="109"/>
      <c r="S82" s="109"/>
      <c r="T82" s="109"/>
    </row>
    <row r="83" customFormat="false" ht="15" hidden="false" customHeight="true" outlineLevel="0" collapsed="false">
      <c r="A83" s="83"/>
      <c r="B83" s="83"/>
      <c r="C83" s="83"/>
      <c r="D83" s="83"/>
      <c r="E83" s="83"/>
      <c r="F83" s="83"/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</row>
    <row r="84" customFormat="false" ht="15" hidden="false" customHeight="true" outlineLevel="0" collapsed="false">
      <c r="A84" s="83"/>
      <c r="B84" s="110" t="s">
        <v>110</v>
      </c>
      <c r="C84" s="110"/>
      <c r="D84" s="110"/>
      <c r="E84" s="110"/>
      <c r="F84" s="110"/>
      <c r="G84" s="110"/>
      <c r="H84" s="110"/>
      <c r="I84" s="110"/>
      <c r="J84" s="110"/>
      <c r="K84" s="110"/>
      <c r="L84" s="110"/>
      <c r="M84" s="110"/>
      <c r="N84" s="110"/>
      <c r="O84" s="110"/>
      <c r="P84" s="110"/>
      <c r="Q84" s="110"/>
      <c r="R84" s="110"/>
      <c r="S84" s="110"/>
      <c r="T84" s="110"/>
    </row>
    <row r="85" customFormat="false" ht="24" hidden="false" customHeight="true" outlineLevel="0" collapsed="false">
      <c r="A85" s="83"/>
      <c r="B85" s="111" t="s">
        <v>111</v>
      </c>
      <c r="C85" s="111"/>
      <c r="D85" s="111"/>
      <c r="E85" s="111"/>
      <c r="F85" s="111"/>
      <c r="G85" s="111"/>
      <c r="H85" s="111"/>
      <c r="I85" s="111"/>
      <c r="J85" s="111"/>
      <c r="K85" s="111"/>
      <c r="L85" s="111"/>
      <c r="M85" s="111"/>
      <c r="N85" s="111"/>
      <c r="O85" s="111"/>
      <c r="P85" s="111"/>
      <c r="Q85" s="111"/>
      <c r="R85" s="111"/>
      <c r="S85" s="111"/>
      <c r="T85" s="111"/>
    </row>
    <row r="86" customFormat="false" ht="24" hidden="false" customHeight="true" outlineLevel="0" collapsed="false">
      <c r="A86" s="83"/>
      <c r="B86" s="111"/>
      <c r="C86" s="111"/>
      <c r="D86" s="111"/>
      <c r="E86" s="111"/>
      <c r="F86" s="111"/>
      <c r="G86" s="111"/>
      <c r="H86" s="111"/>
      <c r="I86" s="111"/>
      <c r="J86" s="111"/>
      <c r="K86" s="111"/>
      <c r="L86" s="111"/>
      <c r="M86" s="111"/>
      <c r="N86" s="111"/>
      <c r="O86" s="111"/>
      <c r="P86" s="111"/>
      <c r="Q86" s="111"/>
      <c r="R86" s="111"/>
      <c r="S86" s="111"/>
      <c r="T86" s="111"/>
    </row>
    <row r="87" customFormat="false" ht="24" hidden="false" customHeight="true" outlineLevel="0" collapsed="false">
      <c r="A87" s="83"/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</row>
    <row r="88" customFormat="false" ht="15" hidden="false" customHeight="true" outlineLevel="0" collapsed="false">
      <c r="A88" s="83"/>
      <c r="B88" s="83"/>
      <c r="C88" s="83"/>
      <c r="D88" s="83"/>
      <c r="E88" s="83"/>
      <c r="F88" s="83"/>
      <c r="G88" s="83"/>
      <c r="H88" s="83"/>
      <c r="I88" s="83"/>
      <c r="J88" s="83"/>
      <c r="K88" s="83"/>
      <c r="L88" s="83"/>
      <c r="M88" s="83"/>
      <c r="N88" s="83"/>
      <c r="O88" s="83"/>
      <c r="P88" s="83"/>
      <c r="Q88" s="83"/>
      <c r="R88" s="83"/>
      <c r="S88" s="83"/>
      <c r="T88" s="83"/>
    </row>
    <row r="89" customFormat="false" ht="15" hidden="false" customHeight="true" outlineLevel="0" collapsed="false">
      <c r="A89" s="83"/>
      <c r="B89" s="83"/>
      <c r="C89" s="83"/>
      <c r="D89" s="83"/>
      <c r="E89" s="83"/>
      <c r="F89" s="83"/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</row>
    <row r="90" customFormat="false" ht="15" hidden="false" customHeight="true" outlineLevel="0" collapsed="false">
      <c r="A90" s="83"/>
      <c r="B90" s="83"/>
      <c r="C90" s="83"/>
      <c r="D90" s="83"/>
      <c r="E90" s="83"/>
      <c r="F90" s="83"/>
      <c r="G90" s="83"/>
      <c r="H90" s="83"/>
      <c r="I90" s="83"/>
      <c r="J90" s="83"/>
      <c r="K90" s="83"/>
      <c r="L90" s="83"/>
      <c r="M90" s="83"/>
      <c r="N90" s="83"/>
      <c r="O90" s="83"/>
      <c r="P90" s="83"/>
      <c r="Q90" s="83"/>
      <c r="R90" s="83"/>
      <c r="S90" s="83"/>
      <c r="T90" s="83"/>
    </row>
    <row r="91" customFormat="false" ht="15" hidden="false" customHeight="true" outlineLevel="0" collapsed="false">
      <c r="A91" s="83"/>
      <c r="B91" s="83"/>
      <c r="C91" s="83"/>
      <c r="D91" s="83"/>
      <c r="E91" s="83"/>
      <c r="F91" s="83"/>
      <c r="G91" s="8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</row>
    <row r="92" customFormat="false" ht="15" hidden="false" customHeight="true" outlineLevel="0" collapsed="false">
      <c r="A92" s="83"/>
      <c r="B92" s="83"/>
      <c r="C92" s="83"/>
      <c r="D92" s="83"/>
      <c r="E92" s="83"/>
      <c r="F92" s="83"/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</row>
    <row r="93" customFormat="false" ht="15" hidden="false" customHeight="true" outlineLevel="0" collapsed="false">
      <c r="A93" s="83"/>
      <c r="B93" s="83"/>
      <c r="C93" s="83"/>
      <c r="D93" s="83"/>
      <c r="E93" s="83"/>
      <c r="F93" s="83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</row>
    <row r="94" customFormat="false" ht="15" hidden="false" customHeight="true" outlineLevel="0" collapsed="false">
      <c r="A94" s="83"/>
      <c r="B94" s="83"/>
      <c r="C94" s="83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</row>
    <row r="95" customFormat="false" ht="15" hidden="false" customHeight="true" outlineLevel="0" collapsed="false">
      <c r="A95" s="83"/>
      <c r="B95" s="83"/>
      <c r="C95" s="83"/>
      <c r="D95" s="83"/>
      <c r="E95" s="83"/>
      <c r="F95" s="83"/>
      <c r="G95" s="83"/>
      <c r="H95" s="83"/>
      <c r="I95" s="83"/>
      <c r="J95" s="83"/>
      <c r="K95" s="83"/>
      <c r="L95" s="83"/>
      <c r="M95" s="83"/>
      <c r="N95" s="83"/>
      <c r="O95" s="83"/>
      <c r="P95" s="83"/>
      <c r="Q95" s="83"/>
      <c r="R95" s="83"/>
      <c r="S95" s="83"/>
      <c r="T95" s="83"/>
    </row>
    <row r="96" customFormat="false" ht="15" hidden="false" customHeight="true" outlineLevel="0" collapsed="false">
      <c r="A96" s="83"/>
      <c r="B96" s="83"/>
      <c r="C96" s="83"/>
      <c r="D96" s="83"/>
      <c r="E96" s="83"/>
      <c r="F96" s="83"/>
      <c r="G96" s="83"/>
      <c r="H96" s="83"/>
      <c r="I96" s="83"/>
      <c r="J96" s="83"/>
      <c r="K96" s="83"/>
      <c r="L96" s="83"/>
      <c r="M96" s="83"/>
      <c r="N96" s="83"/>
      <c r="O96" s="83"/>
      <c r="P96" s="83"/>
      <c r="Q96" s="83"/>
      <c r="R96" s="83"/>
      <c r="S96" s="83"/>
      <c r="T96" s="83"/>
    </row>
    <row r="97" customFormat="false" ht="15" hidden="false" customHeight="true" outlineLevel="0" collapsed="false">
      <c r="A97" s="83"/>
      <c r="B97" s="83"/>
      <c r="C97" s="83"/>
      <c r="D97" s="83"/>
      <c r="E97" s="83"/>
      <c r="F97" s="83"/>
      <c r="G97" s="83"/>
      <c r="H97" s="83"/>
      <c r="I97" s="83"/>
      <c r="J97" s="83"/>
      <c r="K97" s="83"/>
      <c r="L97" s="83"/>
      <c r="M97" s="83"/>
      <c r="N97" s="83"/>
      <c r="O97" s="83"/>
      <c r="P97" s="83"/>
      <c r="Q97" s="83"/>
      <c r="R97" s="83"/>
      <c r="S97" s="83"/>
      <c r="T97" s="83"/>
    </row>
    <row r="98" customFormat="false" ht="15" hidden="false" customHeight="true" outlineLevel="0" collapsed="false">
      <c r="A98" s="83"/>
      <c r="B98" s="83"/>
      <c r="C98" s="83"/>
      <c r="D98" s="83"/>
      <c r="E98" s="83"/>
      <c r="F98" s="83"/>
      <c r="G98" s="83"/>
      <c r="H98" s="83"/>
      <c r="I98" s="83"/>
      <c r="J98" s="83"/>
      <c r="K98" s="83"/>
      <c r="L98" s="83"/>
      <c r="M98" s="83"/>
      <c r="N98" s="83"/>
      <c r="O98" s="83"/>
      <c r="P98" s="83"/>
      <c r="Q98" s="83"/>
      <c r="R98" s="83"/>
      <c r="S98" s="83"/>
      <c r="T98" s="83"/>
    </row>
    <row r="99" customFormat="false" ht="15" hidden="false" customHeight="true" outlineLevel="0" collapsed="false">
      <c r="A99" s="83"/>
      <c r="B99" s="83"/>
      <c r="C99" s="83"/>
      <c r="D99" s="83"/>
      <c r="E99" s="83"/>
      <c r="F99" s="83"/>
      <c r="G99" s="83"/>
      <c r="H99" s="83"/>
      <c r="I99" s="83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</row>
    <row r="100" customFormat="false" ht="15" hidden="false" customHeight="true" outlineLevel="0" collapsed="false">
      <c r="A100" s="83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</row>
    <row r="101" customFormat="false" ht="15" hidden="false" customHeight="true" outlineLevel="0" collapsed="false">
      <c r="A101" s="83"/>
      <c r="B101" s="83"/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</row>
    <row r="102" customFormat="false" ht="15" hidden="false" customHeight="true" outlineLevel="0" collapsed="false">
      <c r="A102" s="83"/>
      <c r="B102" s="83"/>
      <c r="C102" s="83"/>
      <c r="D102" s="83"/>
      <c r="E102" s="83"/>
      <c r="F102" s="83"/>
      <c r="G102" s="83"/>
      <c r="H102" s="83"/>
      <c r="I102" s="83"/>
      <c r="J102" s="83"/>
      <c r="K102" s="83"/>
      <c r="L102" s="83"/>
      <c r="M102" s="83"/>
      <c r="N102" s="83"/>
      <c r="O102" s="83"/>
      <c r="P102" s="83"/>
      <c r="Q102" s="83"/>
      <c r="R102" s="83"/>
      <c r="S102" s="83"/>
      <c r="T102" s="83"/>
    </row>
    <row r="103" customFormat="false" ht="15" hidden="false" customHeight="true" outlineLevel="0" collapsed="false">
      <c r="A103" s="83"/>
      <c r="B103" s="83"/>
      <c r="C103" s="83"/>
      <c r="D103" s="83"/>
      <c r="E103" s="83"/>
      <c r="F103" s="83"/>
      <c r="G103" s="83"/>
      <c r="H103" s="83"/>
      <c r="I103" s="83"/>
      <c r="J103" s="83"/>
      <c r="K103" s="83"/>
      <c r="L103" s="83"/>
      <c r="M103" s="83"/>
      <c r="N103" s="83"/>
      <c r="O103" s="83"/>
      <c r="P103" s="83"/>
      <c r="Q103" s="83"/>
      <c r="R103" s="83"/>
      <c r="S103" s="83"/>
      <c r="T103" s="83"/>
    </row>
    <row r="104" customFormat="false" ht="15" hidden="false" customHeight="true" outlineLevel="0" collapsed="false">
      <c r="A104" s="83"/>
      <c r="B104" s="83"/>
      <c r="C104" s="83"/>
      <c r="D104" s="83"/>
      <c r="E104" s="83"/>
      <c r="F104" s="83"/>
      <c r="G104" s="83"/>
      <c r="H104" s="83"/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</row>
    <row r="105" customFormat="false" ht="15" hidden="false" customHeight="true" outlineLevel="0" collapsed="false">
      <c r="A105" s="83"/>
      <c r="B105" s="83"/>
      <c r="C105" s="83"/>
      <c r="D105" s="83"/>
      <c r="E105" s="83"/>
      <c r="F105" s="83"/>
      <c r="G105" s="83"/>
      <c r="H105" s="83"/>
      <c r="I105" s="83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</row>
    <row r="106" customFormat="false" ht="15" hidden="false" customHeight="true" outlineLevel="0" collapsed="false">
      <c r="A106" s="83"/>
      <c r="B106" s="83"/>
      <c r="C106" s="83"/>
      <c r="D106" s="83"/>
      <c r="E106" s="83"/>
      <c r="F106" s="83"/>
      <c r="G106" s="83"/>
      <c r="H106" s="83"/>
      <c r="I106" s="83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</row>
    <row r="107" customFormat="false" ht="15" hidden="false" customHeight="true" outlineLevel="0" collapsed="false">
      <c r="A107" s="83"/>
      <c r="B107" s="83"/>
      <c r="C107" s="83"/>
      <c r="D107" s="83"/>
      <c r="E107" s="83"/>
      <c r="F107" s="83"/>
      <c r="G107" s="83"/>
      <c r="H107" s="83"/>
      <c r="I107" s="83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</row>
    <row r="108" customFormat="false" ht="15" hidden="false" customHeight="true" outlineLevel="0" collapsed="false">
      <c r="A108" s="83"/>
      <c r="B108" s="83"/>
      <c r="C108" s="83"/>
      <c r="D108" s="83"/>
      <c r="E108" s="83"/>
      <c r="F108" s="83"/>
      <c r="G108" s="83"/>
      <c r="H108" s="83"/>
      <c r="I108" s="83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</row>
    <row r="109" customFormat="false" ht="15" hidden="false" customHeight="true" outlineLevel="0" collapsed="false">
      <c r="A109" s="83"/>
      <c r="B109" s="83"/>
      <c r="C109" s="83"/>
      <c r="D109" s="83"/>
      <c r="E109" s="83"/>
      <c r="F109" s="83"/>
      <c r="G109" s="83"/>
      <c r="H109" s="83"/>
      <c r="I109" s="83"/>
      <c r="J109" s="83"/>
      <c r="K109" s="83"/>
      <c r="L109" s="83"/>
      <c r="M109" s="83"/>
      <c r="N109" s="83"/>
      <c r="O109" s="83"/>
      <c r="P109" s="83"/>
      <c r="Q109" s="83"/>
      <c r="R109" s="83"/>
      <c r="S109" s="83"/>
      <c r="T109" s="83"/>
    </row>
    <row r="110" customFormat="false" ht="15" hidden="false" customHeight="true" outlineLevel="0" collapsed="false">
      <c r="A110" s="83"/>
      <c r="B110" s="83"/>
      <c r="C110" s="83"/>
      <c r="D110" s="83"/>
      <c r="E110" s="83"/>
      <c r="F110" s="83"/>
      <c r="G110" s="83"/>
      <c r="H110" s="83"/>
      <c r="I110" s="83"/>
      <c r="J110" s="83"/>
      <c r="K110" s="83"/>
      <c r="L110" s="83"/>
      <c r="M110" s="83"/>
      <c r="N110" s="83"/>
      <c r="O110" s="83"/>
      <c r="P110" s="83"/>
      <c r="Q110" s="83"/>
      <c r="R110" s="83"/>
      <c r="S110" s="83"/>
      <c r="T110" s="83"/>
    </row>
    <row r="111" customFormat="false" ht="15" hidden="false" customHeight="true" outlineLevel="0" collapsed="false">
      <c r="A111" s="83"/>
      <c r="B111" s="83"/>
      <c r="C111" s="83"/>
      <c r="D111" s="83"/>
      <c r="E111" s="83"/>
      <c r="F111" s="83"/>
      <c r="G111" s="83"/>
      <c r="H111" s="83"/>
      <c r="I111" s="83"/>
      <c r="J111" s="83"/>
      <c r="K111" s="83"/>
      <c r="L111" s="83"/>
      <c r="M111" s="83"/>
      <c r="N111" s="83"/>
      <c r="O111" s="83"/>
      <c r="P111" s="83"/>
      <c r="Q111" s="83"/>
      <c r="R111" s="83"/>
      <c r="S111" s="83"/>
      <c r="T111" s="83"/>
    </row>
    <row r="112" customFormat="false" ht="15" hidden="false" customHeight="true" outlineLevel="0" collapsed="false">
      <c r="A112" s="83"/>
      <c r="B112" s="83"/>
      <c r="C112" s="83"/>
      <c r="D112" s="83"/>
      <c r="E112" s="83"/>
      <c r="F112" s="83"/>
      <c r="G112" s="83"/>
      <c r="H112" s="83"/>
      <c r="I112" s="83"/>
      <c r="J112" s="83"/>
      <c r="K112" s="83"/>
      <c r="L112" s="83"/>
      <c r="M112" s="83"/>
      <c r="N112" s="83"/>
      <c r="O112" s="83"/>
      <c r="P112" s="83"/>
      <c r="Q112" s="83"/>
      <c r="R112" s="83"/>
      <c r="S112" s="83"/>
      <c r="T112" s="83"/>
    </row>
    <row r="113" customFormat="false" ht="15" hidden="false" customHeight="true" outlineLevel="0" collapsed="false">
      <c r="A113" s="83"/>
      <c r="B113" s="83"/>
      <c r="C113" s="83"/>
      <c r="D113" s="83"/>
      <c r="E113" s="83"/>
      <c r="F113" s="83"/>
      <c r="G113" s="83"/>
      <c r="H113" s="83"/>
      <c r="I113" s="83"/>
      <c r="J113" s="83"/>
      <c r="K113" s="83"/>
      <c r="L113" s="83"/>
      <c r="M113" s="83"/>
      <c r="N113" s="83"/>
      <c r="O113" s="83"/>
      <c r="P113" s="83"/>
      <c r="Q113" s="83"/>
      <c r="R113" s="83"/>
      <c r="S113" s="83"/>
      <c r="T113" s="83"/>
    </row>
    <row r="114" customFormat="false" ht="15" hidden="false" customHeight="true" outlineLevel="0" collapsed="false">
      <c r="A114" s="83"/>
      <c r="B114" s="83"/>
      <c r="C114" s="83"/>
      <c r="D114" s="83"/>
      <c r="E114" s="83"/>
      <c r="F114" s="83"/>
      <c r="G114" s="83"/>
      <c r="H114" s="83"/>
      <c r="I114" s="83"/>
      <c r="J114" s="83"/>
      <c r="K114" s="83"/>
      <c r="L114" s="83"/>
      <c r="M114" s="83"/>
      <c r="N114" s="83"/>
      <c r="O114" s="83"/>
      <c r="P114" s="83"/>
      <c r="Q114" s="83"/>
      <c r="R114" s="83"/>
      <c r="S114" s="83"/>
      <c r="T114" s="83"/>
    </row>
    <row r="115" customFormat="false" ht="15" hidden="false" customHeight="true" outlineLevel="0" collapsed="false">
      <c r="A115" s="83"/>
      <c r="B115" s="83"/>
      <c r="C115" s="83"/>
      <c r="D115" s="83"/>
      <c r="E115" s="83"/>
      <c r="F115" s="83"/>
      <c r="G115" s="83"/>
      <c r="H115" s="83"/>
      <c r="I115" s="83"/>
      <c r="J115" s="83"/>
      <c r="K115" s="83"/>
      <c r="L115" s="83"/>
      <c r="M115" s="83"/>
      <c r="N115" s="83"/>
      <c r="O115" s="83"/>
      <c r="P115" s="83"/>
      <c r="Q115" s="83"/>
      <c r="R115" s="83"/>
      <c r="S115" s="83"/>
      <c r="T115" s="83"/>
    </row>
    <row r="116" customFormat="false" ht="15" hidden="false" customHeight="true" outlineLevel="0" collapsed="false">
      <c r="A116" s="83"/>
      <c r="B116" s="83"/>
      <c r="C116" s="83"/>
      <c r="D116" s="83"/>
      <c r="E116" s="83"/>
      <c r="F116" s="83"/>
      <c r="G116" s="83"/>
      <c r="H116" s="83"/>
      <c r="I116" s="83"/>
      <c r="J116" s="83"/>
      <c r="K116" s="83"/>
      <c r="L116" s="83"/>
      <c r="M116" s="83"/>
      <c r="N116" s="83"/>
      <c r="O116" s="83"/>
      <c r="P116" s="83"/>
      <c r="Q116" s="83"/>
      <c r="R116" s="83"/>
      <c r="S116" s="83"/>
      <c r="T116" s="83"/>
    </row>
    <row r="117" customFormat="false" ht="15" hidden="false" customHeight="true" outlineLevel="0" collapsed="false">
      <c r="A117" s="83"/>
      <c r="B117" s="83"/>
      <c r="C117" s="83"/>
      <c r="D117" s="83"/>
      <c r="E117" s="83"/>
      <c r="F117" s="83"/>
      <c r="G117" s="83"/>
      <c r="H117" s="83"/>
      <c r="I117" s="83"/>
      <c r="J117" s="83"/>
      <c r="K117" s="83"/>
      <c r="L117" s="83"/>
      <c r="M117" s="83"/>
      <c r="N117" s="83"/>
      <c r="O117" s="83"/>
      <c r="P117" s="83"/>
      <c r="Q117" s="83"/>
      <c r="R117" s="83"/>
      <c r="S117" s="83"/>
      <c r="T117" s="83"/>
    </row>
    <row r="118" customFormat="false" ht="15" hidden="false" customHeight="true" outlineLevel="0" collapsed="false">
      <c r="A118" s="83"/>
      <c r="B118" s="83"/>
      <c r="C118" s="83"/>
      <c r="D118" s="83"/>
      <c r="E118" s="83"/>
      <c r="F118" s="83"/>
      <c r="G118" s="83"/>
      <c r="H118" s="83"/>
      <c r="I118" s="83"/>
      <c r="J118" s="83"/>
      <c r="K118" s="83"/>
      <c r="L118" s="83"/>
      <c r="M118" s="83"/>
      <c r="N118" s="83"/>
      <c r="O118" s="83"/>
      <c r="P118" s="83"/>
      <c r="Q118" s="83"/>
      <c r="R118" s="83"/>
      <c r="S118" s="83"/>
      <c r="T118" s="83"/>
    </row>
    <row r="119" customFormat="false" ht="15" hidden="false" customHeight="true" outlineLevel="0" collapsed="false">
      <c r="A119" s="83"/>
      <c r="B119" s="83"/>
      <c r="C119" s="83"/>
      <c r="D119" s="83"/>
      <c r="E119" s="83"/>
      <c r="F119" s="83"/>
      <c r="G119" s="83"/>
      <c r="H119" s="83"/>
      <c r="I119" s="83"/>
      <c r="J119" s="83"/>
      <c r="K119" s="83"/>
      <c r="L119" s="83"/>
      <c r="M119" s="83"/>
      <c r="N119" s="83"/>
      <c r="O119" s="83"/>
      <c r="P119" s="83"/>
      <c r="Q119" s="83"/>
      <c r="R119" s="83"/>
      <c r="S119" s="83"/>
      <c r="T119" s="83"/>
    </row>
    <row r="120" customFormat="false" ht="15" hidden="false" customHeight="true" outlineLevel="0" collapsed="false">
      <c r="A120" s="83"/>
      <c r="B120" s="83"/>
      <c r="C120" s="83"/>
      <c r="D120" s="83"/>
      <c r="E120" s="83"/>
      <c r="F120" s="83"/>
      <c r="G120" s="83"/>
      <c r="H120" s="83"/>
      <c r="I120" s="83"/>
      <c r="J120" s="83"/>
      <c r="K120" s="83"/>
      <c r="L120" s="83"/>
      <c r="M120" s="83"/>
      <c r="N120" s="83"/>
      <c r="O120" s="83"/>
      <c r="P120" s="83"/>
      <c r="Q120" s="83"/>
      <c r="R120" s="83"/>
      <c r="S120" s="83"/>
      <c r="T120" s="83"/>
    </row>
    <row r="121" customFormat="false" ht="15" hidden="false" customHeight="true" outlineLevel="0" collapsed="false">
      <c r="A121" s="83"/>
      <c r="B121" s="83"/>
      <c r="C121" s="83"/>
      <c r="D121" s="83"/>
      <c r="E121" s="83"/>
      <c r="F121" s="83"/>
      <c r="G121" s="83"/>
      <c r="H121" s="83"/>
      <c r="I121" s="83"/>
      <c r="J121" s="83"/>
      <c r="K121" s="83"/>
      <c r="L121" s="83"/>
      <c r="M121" s="83"/>
      <c r="N121" s="83"/>
      <c r="O121" s="83"/>
      <c r="P121" s="83"/>
      <c r="Q121" s="83"/>
      <c r="R121" s="83"/>
      <c r="S121" s="83"/>
      <c r="T121" s="83"/>
    </row>
    <row r="122" customFormat="false" ht="15" hidden="false" customHeight="true" outlineLevel="0" collapsed="false">
      <c r="A122" s="83"/>
      <c r="B122" s="83"/>
      <c r="C122" s="83"/>
      <c r="D122" s="83"/>
      <c r="E122" s="83"/>
      <c r="F122" s="83"/>
      <c r="G122" s="83"/>
      <c r="H122" s="83"/>
      <c r="I122" s="83"/>
      <c r="J122" s="83"/>
      <c r="K122" s="83"/>
      <c r="L122" s="83"/>
      <c r="M122" s="83"/>
      <c r="N122" s="83"/>
      <c r="O122" s="83"/>
      <c r="P122" s="83"/>
      <c r="Q122" s="83"/>
      <c r="R122" s="83"/>
      <c r="S122" s="83"/>
      <c r="T122" s="83"/>
    </row>
    <row r="123" customFormat="false" ht="15" hidden="false" customHeight="true" outlineLevel="0" collapsed="false">
      <c r="A123" s="83"/>
      <c r="B123" s="83"/>
      <c r="C123" s="83"/>
      <c r="D123" s="83"/>
      <c r="E123" s="83"/>
      <c r="F123" s="83"/>
      <c r="G123" s="83"/>
      <c r="H123" s="83"/>
      <c r="I123" s="83"/>
      <c r="J123" s="83"/>
      <c r="K123" s="83"/>
      <c r="L123" s="83"/>
      <c r="M123" s="83"/>
      <c r="N123" s="83"/>
      <c r="O123" s="83"/>
      <c r="P123" s="83"/>
      <c r="Q123" s="83"/>
      <c r="R123" s="83"/>
      <c r="S123" s="83"/>
      <c r="T123" s="83"/>
    </row>
    <row r="124" customFormat="false" ht="15" hidden="false" customHeight="true" outlineLevel="0" collapsed="false">
      <c r="A124" s="83"/>
      <c r="B124" s="83"/>
      <c r="C124" s="83"/>
      <c r="D124" s="83"/>
      <c r="E124" s="83"/>
      <c r="F124" s="83"/>
      <c r="G124" s="83"/>
      <c r="H124" s="83"/>
      <c r="I124" s="83"/>
      <c r="J124" s="83"/>
      <c r="K124" s="83"/>
      <c r="L124" s="83"/>
      <c r="M124" s="83"/>
      <c r="N124" s="83"/>
      <c r="O124" s="83"/>
      <c r="P124" s="83"/>
      <c r="Q124" s="83"/>
      <c r="R124" s="83"/>
      <c r="S124" s="83"/>
      <c r="T124" s="83"/>
    </row>
    <row r="125" customFormat="false" ht="15" hidden="false" customHeight="true" outlineLevel="0" collapsed="false">
      <c r="A125" s="83"/>
      <c r="B125" s="83"/>
      <c r="C125" s="83"/>
      <c r="D125" s="83"/>
      <c r="E125" s="83"/>
      <c r="F125" s="83"/>
      <c r="G125" s="83"/>
      <c r="H125" s="83"/>
      <c r="I125" s="83"/>
      <c r="J125" s="83"/>
      <c r="K125" s="83"/>
      <c r="L125" s="83"/>
      <c r="M125" s="83"/>
      <c r="N125" s="83"/>
      <c r="O125" s="83"/>
      <c r="P125" s="83"/>
      <c r="Q125" s="83"/>
      <c r="R125" s="83"/>
      <c r="S125" s="83"/>
      <c r="T125" s="83"/>
    </row>
    <row r="126" customFormat="false" ht="15" hidden="false" customHeight="true" outlineLevel="0" collapsed="false">
      <c r="A126" s="83"/>
      <c r="B126" s="83"/>
      <c r="C126" s="83"/>
      <c r="D126" s="83"/>
      <c r="E126" s="83"/>
      <c r="F126" s="83"/>
      <c r="G126" s="83"/>
      <c r="H126" s="83"/>
      <c r="I126" s="83"/>
      <c r="J126" s="83"/>
      <c r="K126" s="83"/>
      <c r="L126" s="83"/>
      <c r="M126" s="83"/>
      <c r="N126" s="83"/>
      <c r="O126" s="83"/>
      <c r="P126" s="83"/>
      <c r="Q126" s="83"/>
      <c r="R126" s="83"/>
      <c r="S126" s="83"/>
      <c r="T126" s="83"/>
    </row>
    <row r="127" customFormat="false" ht="15" hidden="false" customHeight="true" outlineLevel="0" collapsed="false">
      <c r="A127" s="83"/>
      <c r="B127" s="83"/>
      <c r="C127" s="83"/>
      <c r="D127" s="83"/>
      <c r="E127" s="83"/>
      <c r="F127" s="83"/>
      <c r="G127" s="83"/>
      <c r="H127" s="83"/>
      <c r="I127" s="83"/>
      <c r="J127" s="83"/>
      <c r="K127" s="83"/>
      <c r="L127" s="83"/>
      <c r="M127" s="83"/>
      <c r="N127" s="83"/>
      <c r="O127" s="83"/>
      <c r="P127" s="83"/>
      <c r="Q127" s="83"/>
      <c r="R127" s="83"/>
      <c r="S127" s="83"/>
      <c r="T127" s="83"/>
    </row>
    <row r="128" customFormat="false" ht="15" hidden="false" customHeight="true" outlineLevel="0" collapsed="false">
      <c r="A128" s="83"/>
      <c r="B128" s="83"/>
      <c r="C128" s="83"/>
      <c r="D128" s="83"/>
      <c r="E128" s="83"/>
      <c r="F128" s="83"/>
      <c r="G128" s="83"/>
      <c r="H128" s="83"/>
      <c r="I128" s="83"/>
      <c r="J128" s="83"/>
      <c r="K128" s="83"/>
      <c r="L128" s="83"/>
      <c r="M128" s="83"/>
      <c r="N128" s="83"/>
      <c r="O128" s="83"/>
      <c r="P128" s="83"/>
      <c r="Q128" s="83"/>
      <c r="R128" s="83"/>
      <c r="S128" s="83"/>
      <c r="T128" s="83"/>
    </row>
    <row r="129" customFormat="false" ht="15" hidden="false" customHeight="true" outlineLevel="0" collapsed="false">
      <c r="A129" s="83"/>
      <c r="B129" s="83"/>
      <c r="C129" s="83"/>
      <c r="D129" s="83"/>
      <c r="E129" s="83"/>
      <c r="F129" s="83"/>
      <c r="G129" s="83"/>
      <c r="H129" s="83"/>
      <c r="I129" s="83"/>
      <c r="J129" s="83"/>
      <c r="K129" s="83"/>
      <c r="L129" s="83"/>
      <c r="M129" s="83"/>
      <c r="N129" s="83"/>
      <c r="O129" s="83"/>
      <c r="P129" s="83"/>
      <c r="Q129" s="83"/>
      <c r="R129" s="83"/>
      <c r="S129" s="83"/>
      <c r="T129" s="83"/>
    </row>
    <row r="130" customFormat="false" ht="15" hidden="false" customHeight="true" outlineLevel="0" collapsed="false">
      <c r="A130" s="83"/>
      <c r="B130" s="83"/>
      <c r="C130" s="83"/>
      <c r="D130" s="83"/>
      <c r="E130" s="83"/>
      <c r="F130" s="83"/>
      <c r="G130" s="83"/>
      <c r="H130" s="83"/>
      <c r="I130" s="83"/>
      <c r="J130" s="83"/>
      <c r="K130" s="83"/>
      <c r="L130" s="83"/>
      <c r="M130" s="83"/>
      <c r="N130" s="83"/>
      <c r="O130" s="83"/>
      <c r="P130" s="83"/>
      <c r="Q130" s="83"/>
      <c r="R130" s="83"/>
      <c r="S130" s="83"/>
      <c r="T130" s="83"/>
    </row>
    <row r="131" customFormat="false" ht="15" hidden="false" customHeight="true" outlineLevel="0" collapsed="false">
      <c r="A131" s="83"/>
      <c r="B131" s="83"/>
      <c r="C131" s="83"/>
      <c r="D131" s="83"/>
      <c r="E131" s="83"/>
      <c r="F131" s="83"/>
      <c r="G131" s="83"/>
      <c r="H131" s="83"/>
      <c r="I131" s="83"/>
      <c r="J131" s="83"/>
      <c r="K131" s="83"/>
      <c r="L131" s="83"/>
      <c r="M131" s="83"/>
      <c r="N131" s="83"/>
      <c r="O131" s="83"/>
      <c r="P131" s="83"/>
      <c r="Q131" s="83"/>
      <c r="R131" s="83"/>
      <c r="S131" s="83"/>
      <c r="T131" s="83"/>
    </row>
    <row r="132" customFormat="false" ht="15" hidden="false" customHeight="true" outlineLevel="0" collapsed="false">
      <c r="A132" s="83"/>
      <c r="B132" s="83"/>
      <c r="C132" s="83"/>
      <c r="D132" s="83"/>
      <c r="E132" s="83"/>
      <c r="F132" s="83"/>
      <c r="G132" s="83"/>
      <c r="H132" s="83"/>
      <c r="I132" s="83"/>
      <c r="J132" s="83"/>
      <c r="K132" s="83"/>
      <c r="L132" s="83"/>
      <c r="M132" s="83"/>
      <c r="N132" s="83"/>
      <c r="O132" s="83"/>
      <c r="P132" s="83"/>
      <c r="Q132" s="83"/>
      <c r="R132" s="83"/>
      <c r="S132" s="83"/>
      <c r="T132" s="83"/>
    </row>
    <row r="133" customFormat="false" ht="15" hidden="false" customHeight="true" outlineLevel="0" collapsed="false">
      <c r="A133" s="83"/>
      <c r="B133" s="83"/>
      <c r="C133" s="83"/>
      <c r="D133" s="83"/>
      <c r="E133" s="83"/>
      <c r="F133" s="83"/>
      <c r="G133" s="83"/>
      <c r="H133" s="83"/>
      <c r="I133" s="83"/>
      <c r="J133" s="83"/>
      <c r="K133" s="83"/>
      <c r="L133" s="83"/>
      <c r="M133" s="83"/>
      <c r="N133" s="83"/>
      <c r="O133" s="83"/>
      <c r="P133" s="83"/>
      <c r="Q133" s="83"/>
      <c r="R133" s="83"/>
      <c r="S133" s="83"/>
      <c r="T133" s="83"/>
    </row>
    <row r="134" customFormat="false" ht="15" hidden="false" customHeight="true" outlineLevel="0" collapsed="false">
      <c r="A134" s="83"/>
      <c r="B134" s="83"/>
      <c r="C134" s="83"/>
      <c r="D134" s="83"/>
      <c r="E134" s="83"/>
      <c r="F134" s="83"/>
      <c r="G134" s="83"/>
      <c r="H134" s="83"/>
      <c r="I134" s="83"/>
      <c r="J134" s="83"/>
      <c r="K134" s="83"/>
      <c r="L134" s="83"/>
      <c r="M134" s="83"/>
      <c r="N134" s="83"/>
      <c r="O134" s="83"/>
      <c r="P134" s="83"/>
      <c r="Q134" s="83"/>
      <c r="R134" s="83"/>
      <c r="S134" s="83"/>
      <c r="T134" s="83"/>
    </row>
    <row r="135" customFormat="false" ht="15" hidden="false" customHeight="true" outlineLevel="0" collapsed="false">
      <c r="A135" s="83"/>
      <c r="B135" s="83"/>
      <c r="C135" s="83"/>
      <c r="D135" s="83"/>
      <c r="E135" s="83"/>
      <c r="F135" s="83"/>
      <c r="G135" s="83"/>
      <c r="H135" s="83"/>
      <c r="I135" s="83"/>
      <c r="J135" s="83"/>
      <c r="K135" s="83"/>
      <c r="L135" s="83"/>
      <c r="M135" s="83"/>
      <c r="N135" s="83"/>
      <c r="O135" s="83"/>
      <c r="P135" s="83"/>
      <c r="Q135" s="83"/>
      <c r="R135" s="83"/>
      <c r="S135" s="83"/>
      <c r="T135" s="83"/>
    </row>
    <row r="136" customFormat="false" ht="15" hidden="false" customHeight="true" outlineLevel="0" collapsed="false">
      <c r="A136" s="83"/>
      <c r="B136" s="83"/>
      <c r="C136" s="83"/>
      <c r="D136" s="83"/>
      <c r="E136" s="83"/>
      <c r="F136" s="83"/>
      <c r="G136" s="83"/>
      <c r="H136" s="83"/>
      <c r="I136" s="83"/>
      <c r="J136" s="83"/>
      <c r="K136" s="83"/>
      <c r="L136" s="83"/>
      <c r="M136" s="83"/>
      <c r="N136" s="83"/>
      <c r="O136" s="83"/>
      <c r="P136" s="83"/>
      <c r="Q136" s="83"/>
      <c r="R136" s="83"/>
      <c r="S136" s="83"/>
      <c r="T136" s="83"/>
    </row>
    <row r="137" customFormat="false" ht="15" hidden="false" customHeight="true" outlineLevel="0" collapsed="false">
      <c r="A137" s="83"/>
      <c r="B137" s="83"/>
      <c r="C137" s="83"/>
      <c r="D137" s="83"/>
      <c r="E137" s="83"/>
      <c r="F137" s="83"/>
      <c r="G137" s="83"/>
      <c r="H137" s="83"/>
      <c r="I137" s="83"/>
      <c r="J137" s="83"/>
      <c r="K137" s="83"/>
      <c r="L137" s="83"/>
      <c r="M137" s="83"/>
      <c r="N137" s="83"/>
      <c r="O137" s="83"/>
      <c r="P137" s="83"/>
      <c r="Q137" s="83"/>
      <c r="R137" s="83"/>
      <c r="S137" s="83"/>
      <c r="T137" s="83"/>
    </row>
    <row r="138" customFormat="false" ht="15" hidden="false" customHeight="true" outlineLevel="0" collapsed="false">
      <c r="A138" s="83"/>
      <c r="B138" s="83"/>
      <c r="C138" s="83"/>
      <c r="D138" s="83"/>
      <c r="E138" s="83"/>
      <c r="F138" s="83"/>
      <c r="G138" s="83"/>
      <c r="H138" s="83"/>
      <c r="I138" s="83"/>
      <c r="J138" s="83"/>
      <c r="K138" s="83"/>
      <c r="L138" s="83"/>
      <c r="M138" s="83"/>
      <c r="N138" s="83"/>
      <c r="O138" s="83"/>
      <c r="P138" s="83"/>
      <c r="Q138" s="83"/>
      <c r="R138" s="83"/>
      <c r="S138" s="83"/>
      <c r="T138" s="83"/>
    </row>
    <row r="139" customFormat="false" ht="15" hidden="false" customHeight="true" outlineLevel="0" collapsed="false">
      <c r="A139" s="83"/>
      <c r="B139" s="83"/>
      <c r="C139" s="83"/>
      <c r="D139" s="83"/>
      <c r="E139" s="83"/>
      <c r="F139" s="83"/>
      <c r="G139" s="83"/>
      <c r="H139" s="83"/>
      <c r="I139" s="83"/>
      <c r="J139" s="83"/>
      <c r="K139" s="83"/>
      <c r="L139" s="83"/>
      <c r="M139" s="83"/>
      <c r="N139" s="83"/>
      <c r="O139" s="83"/>
      <c r="P139" s="83"/>
      <c r="Q139" s="83"/>
      <c r="R139" s="83"/>
      <c r="S139" s="83"/>
      <c r="T139" s="83"/>
    </row>
    <row r="140" customFormat="false" ht="15" hidden="false" customHeight="true" outlineLevel="0" collapsed="false">
      <c r="A140" s="83"/>
      <c r="B140" s="83"/>
      <c r="C140" s="83"/>
      <c r="D140" s="83"/>
      <c r="E140" s="83"/>
      <c r="F140" s="83"/>
      <c r="G140" s="83"/>
      <c r="H140" s="83"/>
      <c r="I140" s="83"/>
      <c r="J140" s="83"/>
      <c r="K140" s="83"/>
      <c r="L140" s="83"/>
      <c r="M140" s="83"/>
      <c r="N140" s="83"/>
      <c r="O140" s="83"/>
      <c r="P140" s="83"/>
      <c r="Q140" s="83"/>
      <c r="R140" s="83"/>
      <c r="S140" s="83"/>
      <c r="T140" s="83"/>
    </row>
    <row r="141" customFormat="false" ht="1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</row>
    <row r="142" customFormat="false" ht="1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</row>
    <row r="143" customFormat="false" ht="1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</row>
    <row r="144" customFormat="false" ht="1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</row>
    <row r="145" customFormat="false" ht="1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</row>
    <row r="146" customFormat="false" ht="1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</row>
    <row r="147" customFormat="false" ht="1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</row>
    <row r="148" customFormat="false" ht="1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</row>
    <row r="149" customFormat="false" ht="1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</row>
    <row r="150" customFormat="false" ht="1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</row>
    <row r="151" customFormat="false" ht="1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</row>
    <row r="152" customFormat="false" ht="1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</row>
    <row r="153" customFormat="false" ht="1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</row>
    <row r="154" customFormat="false" ht="1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</row>
    <row r="155" customFormat="false" ht="1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</row>
    <row r="156" customFormat="false" ht="1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</row>
    <row r="157" customFormat="false" ht="1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</row>
    <row r="158" customFormat="false" ht="1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</row>
    <row r="159" customFormat="false" ht="1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</row>
    <row r="160" customFormat="false" ht="1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</row>
    <row r="161" customFormat="false" ht="1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</row>
    <row r="162" customFormat="false" ht="1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</row>
    <row r="163" customFormat="false" ht="1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</row>
    <row r="164" customFormat="false" ht="1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</row>
    <row r="165" customFormat="false" ht="1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</row>
    <row r="166" customFormat="false" ht="1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</row>
    <row r="167" customFormat="false" ht="1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</row>
    <row r="168" customFormat="false" ht="1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</row>
    <row r="169" customFormat="false" ht="1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</row>
    <row r="170" customFormat="false" ht="1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</row>
    <row r="171" customFormat="false" ht="1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</row>
    <row r="172" customFormat="false" ht="1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</row>
    <row r="173" customFormat="false" ht="1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</row>
    <row r="174" customFormat="false" ht="1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</row>
    <row r="175" customFormat="false" ht="1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</row>
    <row r="176" customFormat="false" ht="1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</row>
    <row r="177" customFormat="false" ht="1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</row>
    <row r="178" customFormat="false" ht="1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</row>
    <row r="179" customFormat="false" ht="1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</row>
    <row r="180" customFormat="false" ht="1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</row>
    <row r="181" customFormat="false" ht="1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</row>
    <row r="182" customFormat="false" ht="1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</row>
    <row r="183" customFormat="false" ht="1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</row>
    <row r="184" customFormat="false" ht="1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</row>
    <row r="185" customFormat="false" ht="1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</row>
    <row r="186" customFormat="false" ht="1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</row>
    <row r="187" customFormat="false" ht="1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</row>
    <row r="188" customFormat="false" ht="1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</row>
    <row r="189" customFormat="false" ht="1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</row>
    <row r="190" customFormat="false" ht="1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</row>
    <row r="191" customFormat="false" ht="1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</row>
    <row r="192" customFormat="false" ht="1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</row>
    <row r="193" customFormat="false" ht="1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</row>
    <row r="194" customFormat="false" ht="1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</row>
    <row r="195" customFormat="false" ht="1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</row>
    <row r="196" customFormat="false" ht="1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</row>
    <row r="197" customFormat="false" ht="1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</row>
    <row r="198" customFormat="false" ht="1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</row>
    <row r="199" customFormat="false" ht="1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</row>
    <row r="200" customFormat="false" ht="1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</row>
  </sheetData>
  <mergeCells count="245">
    <mergeCell ref="B2:L2"/>
    <mergeCell ref="B3:L3"/>
    <mergeCell ref="B4:L4"/>
    <mergeCell ref="B5:L5"/>
    <mergeCell ref="B6:C6"/>
    <mergeCell ref="D6:E6"/>
    <mergeCell ref="F6:G6"/>
    <mergeCell ref="H6:I6"/>
    <mergeCell ref="J6:K6"/>
    <mergeCell ref="B7:C8"/>
    <mergeCell ref="D7:E8"/>
    <mergeCell ref="F7:G8"/>
    <mergeCell ref="H7:I8"/>
    <mergeCell ref="J7:K8"/>
    <mergeCell ref="B9:C9"/>
    <mergeCell ref="D9:E9"/>
    <mergeCell ref="F9:G9"/>
    <mergeCell ref="H9:I9"/>
    <mergeCell ref="J9:K9"/>
    <mergeCell ref="B12:L12"/>
    <mergeCell ref="B13:D13"/>
    <mergeCell ref="E13:F13"/>
    <mergeCell ref="G13:H13"/>
    <mergeCell ref="I13:J13"/>
    <mergeCell ref="K13:T13"/>
    <mergeCell ref="B14:D14"/>
    <mergeCell ref="E14:F14"/>
    <mergeCell ref="G14:H14"/>
    <mergeCell ref="I14:J14"/>
    <mergeCell ref="K14:T14"/>
    <mergeCell ref="B15:D15"/>
    <mergeCell ref="E15:F15"/>
    <mergeCell ref="G15:H15"/>
    <mergeCell ref="I15:J15"/>
    <mergeCell ref="K15:T15"/>
    <mergeCell ref="B16:D16"/>
    <mergeCell ref="E16:F16"/>
    <mergeCell ref="G16:H16"/>
    <mergeCell ref="I16:J16"/>
    <mergeCell ref="K16:T16"/>
    <mergeCell ref="B17:D17"/>
    <mergeCell ref="E17:F17"/>
    <mergeCell ref="G17:H17"/>
    <mergeCell ref="I17:J17"/>
    <mergeCell ref="K17:T17"/>
    <mergeCell ref="B18:D18"/>
    <mergeCell ref="E18:F18"/>
    <mergeCell ref="G18:H18"/>
    <mergeCell ref="I18:J18"/>
    <mergeCell ref="K18:T18"/>
    <mergeCell ref="B19:D19"/>
    <mergeCell ref="E19:F19"/>
    <mergeCell ref="G19:H19"/>
    <mergeCell ref="I19:J19"/>
    <mergeCell ref="K19:T19"/>
    <mergeCell ref="B20:D20"/>
    <mergeCell ref="E20:F20"/>
    <mergeCell ref="G20:H20"/>
    <mergeCell ref="I20:J20"/>
    <mergeCell ref="K20:T20"/>
    <mergeCell ref="B21:D21"/>
    <mergeCell ref="E21:F21"/>
    <mergeCell ref="G21:H21"/>
    <mergeCell ref="I21:J21"/>
    <mergeCell ref="K21:T21"/>
    <mergeCell ref="B22:D22"/>
    <mergeCell ref="E22:F22"/>
    <mergeCell ref="G22:H22"/>
    <mergeCell ref="I22:J22"/>
    <mergeCell ref="K22:T22"/>
    <mergeCell ref="B23:D23"/>
    <mergeCell ref="E23:F23"/>
    <mergeCell ref="G23:H23"/>
    <mergeCell ref="I23:J23"/>
    <mergeCell ref="K23:T23"/>
    <mergeCell ref="B24:D24"/>
    <mergeCell ref="E24:F24"/>
    <mergeCell ref="G24:H24"/>
    <mergeCell ref="I24:J24"/>
    <mergeCell ref="K24:T24"/>
    <mergeCell ref="B27:T27"/>
    <mergeCell ref="B28:C28"/>
    <mergeCell ref="D28:E28"/>
    <mergeCell ref="F28:G28"/>
    <mergeCell ref="H28:I28"/>
    <mergeCell ref="L28:M28"/>
    <mergeCell ref="N28:O28"/>
    <mergeCell ref="P28:Q28"/>
    <mergeCell ref="R28:T28"/>
    <mergeCell ref="B29:C29"/>
    <mergeCell ref="D29:E29"/>
    <mergeCell ref="F29:G29"/>
    <mergeCell ref="H29:I29"/>
    <mergeCell ref="L29:M29"/>
    <mergeCell ref="N29:O29"/>
    <mergeCell ref="P29:Q29"/>
    <mergeCell ref="R29:T29"/>
    <mergeCell ref="B30:C30"/>
    <mergeCell ref="D30:E30"/>
    <mergeCell ref="F30:G30"/>
    <mergeCell ref="H30:I30"/>
    <mergeCell ref="L30:M30"/>
    <mergeCell ref="N30:O30"/>
    <mergeCell ref="P30:Q30"/>
    <mergeCell ref="R30:T30"/>
    <mergeCell ref="B31:C31"/>
    <mergeCell ref="D31:E31"/>
    <mergeCell ref="F31:G31"/>
    <mergeCell ref="H31:I31"/>
    <mergeCell ref="L31:M31"/>
    <mergeCell ref="N31:O31"/>
    <mergeCell ref="P31:Q31"/>
    <mergeCell ref="R31:T31"/>
    <mergeCell ref="B32:C32"/>
    <mergeCell ref="D32:E32"/>
    <mergeCell ref="F32:G32"/>
    <mergeCell ref="H32:I32"/>
    <mergeCell ref="L32:M32"/>
    <mergeCell ref="N32:O32"/>
    <mergeCell ref="P32:Q32"/>
    <mergeCell ref="R32:T32"/>
    <mergeCell ref="B33:C33"/>
    <mergeCell ref="D33:E33"/>
    <mergeCell ref="F33:G33"/>
    <mergeCell ref="H33:I33"/>
    <mergeCell ref="L33:M33"/>
    <mergeCell ref="N33:O33"/>
    <mergeCell ref="P33:Q33"/>
    <mergeCell ref="R33:T33"/>
    <mergeCell ref="B34:C34"/>
    <mergeCell ref="D34:E34"/>
    <mergeCell ref="F34:G34"/>
    <mergeCell ref="H34:I34"/>
    <mergeCell ref="L34:M34"/>
    <mergeCell ref="N34:O34"/>
    <mergeCell ref="P34:Q34"/>
    <mergeCell ref="R34:T34"/>
    <mergeCell ref="B35:C35"/>
    <mergeCell ref="D35:E35"/>
    <mergeCell ref="F35:G35"/>
    <mergeCell ref="H35:I35"/>
    <mergeCell ref="L35:M35"/>
    <mergeCell ref="N35:O35"/>
    <mergeCell ref="P35:Q35"/>
    <mergeCell ref="R35:T35"/>
    <mergeCell ref="B36:C36"/>
    <mergeCell ref="D36:E36"/>
    <mergeCell ref="F36:G36"/>
    <mergeCell ref="H36:I36"/>
    <mergeCell ref="L36:M36"/>
    <mergeCell ref="N36:O36"/>
    <mergeCell ref="P36:Q36"/>
    <mergeCell ref="R36:T36"/>
    <mergeCell ref="B39:T39"/>
    <mergeCell ref="B40:C40"/>
    <mergeCell ref="D40:E40"/>
    <mergeCell ref="F40:G40"/>
    <mergeCell ref="H40:I40"/>
    <mergeCell ref="L40:M40"/>
    <mergeCell ref="N40:O40"/>
    <mergeCell ref="P40:Q40"/>
    <mergeCell ref="R40:T40"/>
    <mergeCell ref="B41:C41"/>
    <mergeCell ref="D41:E41"/>
    <mergeCell ref="F41:G41"/>
    <mergeCell ref="H41:I41"/>
    <mergeCell ref="L41:M41"/>
    <mergeCell ref="N41:O41"/>
    <mergeCell ref="P41:Q41"/>
    <mergeCell ref="R41:T41"/>
    <mergeCell ref="B42:C42"/>
    <mergeCell ref="D42:E42"/>
    <mergeCell ref="F42:G42"/>
    <mergeCell ref="H42:I42"/>
    <mergeCell ref="L42:M42"/>
    <mergeCell ref="N42:O42"/>
    <mergeCell ref="P42:Q42"/>
    <mergeCell ref="R42:T42"/>
    <mergeCell ref="B43:C43"/>
    <mergeCell ref="D43:E43"/>
    <mergeCell ref="F43:G43"/>
    <mergeCell ref="H43:I43"/>
    <mergeCell ref="L43:M43"/>
    <mergeCell ref="N43:O43"/>
    <mergeCell ref="P43:Q43"/>
    <mergeCell ref="R43:T43"/>
    <mergeCell ref="B44:C44"/>
    <mergeCell ref="D44:E44"/>
    <mergeCell ref="F44:G44"/>
    <mergeCell ref="H44:I44"/>
    <mergeCell ref="L44:M44"/>
    <mergeCell ref="N44:O44"/>
    <mergeCell ref="P44:Q44"/>
    <mergeCell ref="R44:T44"/>
    <mergeCell ref="B47:T47"/>
    <mergeCell ref="B48:T49"/>
    <mergeCell ref="B51:D51"/>
    <mergeCell ref="E51:G51"/>
    <mergeCell ref="H51:J51"/>
    <mergeCell ref="K51:L51"/>
    <mergeCell ref="M51:T51"/>
    <mergeCell ref="B52:D52"/>
    <mergeCell ref="E52:G52"/>
    <mergeCell ref="H52:J52"/>
    <mergeCell ref="K52:L52"/>
    <mergeCell ref="M52:T52"/>
    <mergeCell ref="B53:D53"/>
    <mergeCell ref="E53:G53"/>
    <mergeCell ref="H53:J53"/>
    <mergeCell ref="K53:L53"/>
    <mergeCell ref="M53:T53"/>
    <mergeCell ref="B54:D54"/>
    <mergeCell ref="E54:G54"/>
    <mergeCell ref="H54:J54"/>
    <mergeCell ref="K54:L54"/>
    <mergeCell ref="M54:T54"/>
    <mergeCell ref="B55:D55"/>
    <mergeCell ref="E55:G55"/>
    <mergeCell ref="H55:J55"/>
    <mergeCell ref="K55:L55"/>
    <mergeCell ref="M55:T55"/>
    <mergeCell ref="B56:D56"/>
    <mergeCell ref="E56:G56"/>
    <mergeCell ref="H56:J56"/>
    <mergeCell ref="K56:L56"/>
    <mergeCell ref="M56:T56"/>
    <mergeCell ref="B59:T59"/>
    <mergeCell ref="B60:M60"/>
    <mergeCell ref="N60:T60"/>
    <mergeCell ref="B61:T61"/>
    <mergeCell ref="B62:T64"/>
    <mergeCell ref="B66:M66"/>
    <mergeCell ref="N66:T66"/>
    <mergeCell ref="B67:T67"/>
    <mergeCell ref="B68:T70"/>
    <mergeCell ref="B72:M72"/>
    <mergeCell ref="N72:T72"/>
    <mergeCell ref="B73:T73"/>
    <mergeCell ref="B74:T76"/>
    <mergeCell ref="B78:M78"/>
    <mergeCell ref="N78:T78"/>
    <mergeCell ref="B79:T79"/>
    <mergeCell ref="B80:T82"/>
    <mergeCell ref="B84:T84"/>
    <mergeCell ref="B85:T87"/>
  </mergeCells>
  <conditionalFormatting sqref="D29:D36">
    <cfRule type="dataBar" priority="2">
      <dataBar showValue="1" minLength="10" maxLength="90">
        <cfvo type="num" val="0"/>
        <cfvo type="max" val="0"/>
        <color rgb="FF5AA9FF"/>
      </dataBar>
      <extLst>
        <ext xmlns:x14="http://schemas.microsoft.com/office/spreadsheetml/2009/9/main" uri="{B025F937-C7B1-47D3-B67F-A62EFF666E3E}">
          <x14:id>{8C5F6C32-D035-4F8B-A787-1EF58B5CC1CA}</x14:id>
        </ext>
      </extLst>
    </cfRule>
  </conditionalFormatting>
  <conditionalFormatting sqref="D41:D44">
    <cfRule type="dataBar" priority="3">
      <dataBar showValue="1" minLength="10" maxLength="90">
        <cfvo type="num" val="0"/>
        <cfvo type="max" val="0"/>
        <color rgb="FFFF6B6B"/>
      </dataBar>
      <extLst>
        <ext xmlns:x14="http://schemas.microsoft.com/office/spreadsheetml/2009/9/main" uri="{B025F937-C7B1-47D3-B67F-A62EFF666E3E}">
          <x14:id>{CADE14CF-A03C-4362-9D82-DCD3B0353582}</x14:id>
        </ext>
      </extLst>
    </cfRule>
  </conditionalFormatting>
  <printOptions headings="false" gridLines="false" gridLinesSet="true" horizontalCentered="false" verticalCentered="false"/>
  <pageMargins left="0.2" right="0.2" top="0.3" bottom="0.3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C5F6C32-D035-4F8B-A787-1EF58B5CC1CA}">
            <x14:dataBar minLength="10" maxLength="90" axisPosition="none" gradient="true">
              <x14:cfvo type="num">
                <xm:f>0</xm:f>
              </x14:cfvo>
              <x14:cfvo type="max"/>
              <x14:negativeFillColor rgb="FF5AA9FF"/>
              <x14:axisColor rgb="FF000000"/>
            </x14:dataBar>
          </x14:cfRule>
          <xm:sqref>D29:D36</xm:sqref>
        </x14:conditionalFormatting>
        <x14:conditionalFormatting xmlns:xm="http://schemas.microsoft.com/office/excel/2006/main">
          <x14:cfRule type="dataBar" id="{CADE14CF-A03C-4362-9D82-DCD3B0353582}">
            <x14:dataBar minLength="10" maxLength="90" axisPosition="none" gradient="true">
              <x14:cfvo type="num">
                <xm:f>0</xm:f>
              </x14:cfvo>
              <x14:cfvo type="max"/>
              <x14:negativeFillColor rgb="FFFF6B6B"/>
              <x14:axisColor rgb="FF000000"/>
            </x14:dataBar>
          </x14:cfRule>
          <xm:sqref>D41:D44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1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0"/>
    <col collapsed="false" customWidth="true" hidden="false" outlineLevel="0" max="14" min="3" style="1" width="15"/>
    <col collapsed="false" customWidth="true" hidden="false" outlineLevel="0" max="19" min="16" style="1" width="11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31.5" hidden="false" customHeight="true" outlineLevel="0" collapsed="false">
      <c r="A2" s="2"/>
      <c r="B2" s="112" t="s">
        <v>112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2"/>
      <c r="P2" s="2"/>
      <c r="Q2" s="2"/>
      <c r="R2" s="2"/>
      <c r="S2" s="2"/>
      <c r="T2" s="2"/>
      <c r="U2" s="2"/>
      <c r="V2" s="2"/>
    </row>
    <row r="3" customFormat="false" ht="15" hidden="false" customHeight="true" outlineLevel="0" collapsed="false">
      <c r="A3" s="2"/>
      <c r="B3" s="113" t="s">
        <v>113</v>
      </c>
      <c r="C3" s="113"/>
      <c r="D3" s="113"/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2"/>
      <c r="P3" s="2"/>
      <c r="Q3" s="2"/>
      <c r="R3" s="2"/>
      <c r="S3" s="2"/>
      <c r="T3" s="2"/>
      <c r="U3" s="2"/>
      <c r="V3" s="2"/>
    </row>
    <row r="4" customFormat="false" ht="15" hidden="false" customHeight="true" outlineLevel="0" collapsed="false">
      <c r="A4" s="2"/>
      <c r="B4" s="28" t="s">
        <v>114</v>
      </c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"/>
      <c r="P4" s="2"/>
      <c r="Q4" s="2"/>
      <c r="R4" s="2"/>
      <c r="S4" s="2"/>
      <c r="T4" s="2"/>
      <c r="U4" s="2"/>
      <c r="V4" s="2"/>
    </row>
    <row r="5" customFormat="false" ht="15" hidden="false" customHeight="true" outlineLevel="0" collapsed="false">
      <c r="A5" s="2"/>
      <c r="B5" s="31" t="s">
        <v>115</v>
      </c>
      <c r="C5" s="31"/>
      <c r="D5" s="31"/>
      <c r="E5" s="31" t="s">
        <v>116</v>
      </c>
      <c r="F5" s="31"/>
      <c r="G5" s="31"/>
      <c r="H5" s="31" t="s">
        <v>117</v>
      </c>
      <c r="I5" s="31"/>
      <c r="J5" s="31"/>
      <c r="K5" s="31" t="s">
        <v>118</v>
      </c>
      <c r="L5" s="31"/>
      <c r="M5" s="31"/>
      <c r="N5" s="2"/>
      <c r="O5" s="2"/>
      <c r="P5" s="2"/>
      <c r="Q5" s="2"/>
      <c r="R5" s="2"/>
      <c r="S5" s="2"/>
      <c r="T5" s="2"/>
      <c r="U5" s="2"/>
      <c r="V5" s="2"/>
    </row>
    <row r="6" customFormat="false" ht="19.5" hidden="false" customHeight="true" outlineLevel="0" collapsed="false">
      <c r="A6" s="2"/>
      <c r="B6" s="114" t="n">
        <v>22</v>
      </c>
      <c r="C6" s="114"/>
      <c r="D6" s="114"/>
      <c r="E6" s="114" t="n">
        <v>1100</v>
      </c>
      <c r="F6" s="114"/>
      <c r="G6" s="114"/>
      <c r="H6" s="115" t="n">
        <v>0.025</v>
      </c>
      <c r="I6" s="115"/>
      <c r="J6" s="115"/>
      <c r="K6" s="116" t="n">
        <v>0.812</v>
      </c>
      <c r="L6" s="116"/>
      <c r="M6" s="116"/>
      <c r="N6" s="2"/>
      <c r="O6" s="2"/>
      <c r="P6" s="2"/>
      <c r="Q6" s="2"/>
      <c r="R6" s="2"/>
      <c r="S6" s="2"/>
      <c r="T6" s="2"/>
      <c r="U6" s="2"/>
      <c r="V6" s="2"/>
    </row>
    <row r="7" customFormat="false" ht="15" hidden="false" customHeight="tru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customFormat="false" ht="15" hidden="false" customHeight="true" outlineLevel="0" collapsed="false">
      <c r="A8" s="2"/>
      <c r="B8" s="31" t="s">
        <v>119</v>
      </c>
      <c r="C8" s="31"/>
      <c r="D8" s="31"/>
      <c r="E8" s="31" t="s">
        <v>120</v>
      </c>
      <c r="F8" s="31"/>
      <c r="G8" s="31"/>
      <c r="H8" s="31" t="s">
        <v>121</v>
      </c>
      <c r="I8" s="31"/>
      <c r="J8" s="31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customFormat="false" ht="19.5" hidden="false" customHeight="true" outlineLevel="0" collapsed="false">
      <c r="A9" s="2"/>
      <c r="B9" s="116" t="n">
        <v>0.918</v>
      </c>
      <c r="C9" s="116"/>
      <c r="D9" s="116"/>
      <c r="E9" s="116" t="n">
        <v>0.99</v>
      </c>
      <c r="F9" s="116"/>
      <c r="G9" s="116"/>
      <c r="H9" s="116" t="n">
        <v>1.087</v>
      </c>
      <c r="I9" s="116"/>
      <c r="J9" s="116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</row>
    <row r="10" customFormat="false" ht="15" hidden="false" customHeight="tru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customFormat="false" ht="17.25" hidden="false" customHeight="true" outlineLevel="0" collapsed="false">
      <c r="A11" s="2"/>
      <c r="B11" s="117" t="s">
        <v>122</v>
      </c>
      <c r="C11" s="117"/>
      <c r="D11" s="117"/>
      <c r="E11" s="117"/>
      <c r="F11" s="117"/>
      <c r="G11" s="117"/>
      <c r="H11" s="117"/>
      <c r="I11" s="117"/>
      <c r="J11" s="117"/>
      <c r="K11" s="117"/>
      <c r="L11" s="117"/>
      <c r="M11" s="117"/>
      <c r="N11" s="117"/>
      <c r="O11" s="2"/>
      <c r="P11" s="2"/>
      <c r="Q11" s="2"/>
      <c r="R11" s="2"/>
      <c r="S11" s="2"/>
      <c r="T11" s="2"/>
      <c r="U11" s="2"/>
      <c r="V11" s="2"/>
    </row>
    <row r="12" customFormat="false" ht="15" hidden="false" customHeight="true" outlineLevel="0" collapsed="false">
      <c r="A12" s="2"/>
      <c r="B12" s="118" t="s">
        <v>44</v>
      </c>
      <c r="C12" s="119" t="s">
        <v>123</v>
      </c>
      <c r="D12" s="119"/>
      <c r="E12" s="119" t="s">
        <v>124</v>
      </c>
      <c r="F12" s="119"/>
      <c r="G12" s="119" t="s">
        <v>125</v>
      </c>
      <c r="H12" s="119"/>
      <c r="I12" s="119" t="s">
        <v>126</v>
      </c>
      <c r="J12" s="119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</row>
    <row r="13" customFormat="false" ht="15" hidden="false" customHeight="true" outlineLevel="0" collapsed="false">
      <c r="A13" s="2"/>
      <c r="B13" s="120" t="s">
        <v>127</v>
      </c>
      <c r="C13" s="121" t="n">
        <v>6500</v>
      </c>
      <c r="D13" s="121"/>
      <c r="E13" s="121" t="n">
        <v>7000</v>
      </c>
      <c r="F13" s="121"/>
      <c r="G13" s="121" t="n">
        <v>8000</v>
      </c>
      <c r="H13" s="121"/>
      <c r="I13" s="121" t="n">
        <v>8500</v>
      </c>
      <c r="J13" s="121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</row>
    <row r="14" customFormat="false" ht="15" hidden="false" customHeight="true" outlineLevel="0" collapsed="false">
      <c r="A14" s="2"/>
      <c r="B14" s="122" t="s">
        <v>128</v>
      </c>
      <c r="C14" s="123" t="n">
        <f aca="false">C13/$B$6</f>
        <v>295.454545454545</v>
      </c>
      <c r="D14" s="123"/>
      <c r="E14" s="123" t="n">
        <f aca="false">E13/$B$6</f>
        <v>318.181818181818</v>
      </c>
      <c r="F14" s="123"/>
      <c r="G14" s="123" t="n">
        <f aca="false">G13/$B$6</f>
        <v>363.636363636364</v>
      </c>
      <c r="H14" s="123"/>
      <c r="I14" s="123" t="n">
        <f aca="false">I13/$B$6</f>
        <v>386.363636363636</v>
      </c>
      <c r="J14" s="123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</row>
    <row r="15" customFormat="false" ht="15" hidden="false" customHeight="true" outlineLevel="0" collapsed="false">
      <c r="A15" s="2"/>
      <c r="B15" s="124" t="s">
        <v>129</v>
      </c>
      <c r="C15" s="125" t="n">
        <f aca="false">$K$6</f>
        <v>0.812</v>
      </c>
      <c r="D15" s="125"/>
      <c r="E15" s="125" t="n">
        <f aca="false">$B$9</f>
        <v>0.918</v>
      </c>
      <c r="F15" s="125"/>
      <c r="G15" s="125" t="n">
        <f aca="false">$E$9</f>
        <v>0.99</v>
      </c>
      <c r="H15" s="125"/>
      <c r="I15" s="125" t="n">
        <f aca="false">$H$9</f>
        <v>1.087</v>
      </c>
      <c r="J15" s="125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</row>
    <row r="16" customFormat="false" ht="15" hidden="false" customHeight="true" outlineLevel="0" collapsed="false">
      <c r="A16" s="2"/>
      <c r="B16" s="126" t="s">
        <v>130</v>
      </c>
      <c r="C16" s="127" t="n">
        <f aca="false">C14*C15</f>
        <v>239.909090909091</v>
      </c>
      <c r="D16" s="127"/>
      <c r="E16" s="127" t="n">
        <f aca="false">E14*E15</f>
        <v>292.090909090909</v>
      </c>
      <c r="F16" s="127"/>
      <c r="G16" s="127" t="n">
        <f aca="false">G14*G15</f>
        <v>360</v>
      </c>
      <c r="H16" s="127"/>
      <c r="I16" s="127" t="n">
        <f aca="false">I14*I15</f>
        <v>419.977272727273</v>
      </c>
      <c r="J16" s="127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</row>
    <row r="17" customFormat="false" ht="15" hidden="false" customHeight="true" outlineLevel="0" collapsed="false">
      <c r="A17" s="2"/>
      <c r="B17" s="120" t="s">
        <v>131</v>
      </c>
      <c r="C17" s="128" t="n">
        <f aca="false">C16/20</f>
        <v>11.9954545454545</v>
      </c>
      <c r="D17" s="128"/>
      <c r="E17" s="128" t="n">
        <f aca="false">E16/20</f>
        <v>14.6045454545455</v>
      </c>
      <c r="F17" s="128"/>
      <c r="G17" s="128" t="n">
        <f aca="false">G16/20</f>
        <v>18</v>
      </c>
      <c r="H17" s="128"/>
      <c r="I17" s="128" t="n">
        <f aca="false">I16/20</f>
        <v>20.9988636363636</v>
      </c>
      <c r="J17" s="128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</row>
    <row r="18" customFormat="false" ht="15" hidden="false" customHeight="true" outlineLevel="0" collapsed="false">
      <c r="A18" s="2"/>
      <c r="B18" s="129" t="s">
        <v>132</v>
      </c>
      <c r="C18" s="130" t="n">
        <f aca="false">C16*$H$6</f>
        <v>5.99772727272727</v>
      </c>
      <c r="D18" s="130"/>
      <c r="E18" s="130" t="n">
        <f aca="false">E16*$H$6</f>
        <v>7.30227272727273</v>
      </c>
      <c r="F18" s="130"/>
      <c r="G18" s="130" t="n">
        <f aca="false">G16*$H$6</f>
        <v>9</v>
      </c>
      <c r="H18" s="130"/>
      <c r="I18" s="130" t="n">
        <f aca="false">I16*$H$6</f>
        <v>10.4994318181818</v>
      </c>
      <c r="J18" s="130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19" customFormat="false" ht="15" hidden="false" customHeight="true" outlineLevel="0" collapsed="false">
      <c r="A19" s="2"/>
      <c r="B19" s="122" t="s">
        <v>133</v>
      </c>
      <c r="C19" s="131" t="n">
        <f aca="false">C18*$E$6</f>
        <v>6597.5</v>
      </c>
      <c r="D19" s="131"/>
      <c r="E19" s="131" t="n">
        <f aca="false">E18*$E$6</f>
        <v>8032.5</v>
      </c>
      <c r="F19" s="131"/>
      <c r="G19" s="131" t="n">
        <f aca="false">G18*$E$6</f>
        <v>9900</v>
      </c>
      <c r="H19" s="131"/>
      <c r="I19" s="131" t="n">
        <f aca="false">I18*$E$6</f>
        <v>11549.375</v>
      </c>
      <c r="J19" s="131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</row>
    <row r="20" customFormat="false" ht="15" hidden="false" customHeight="true" outlineLevel="0" collapsed="false">
      <c r="A20" s="2"/>
      <c r="B20" s="132" t="s">
        <v>134</v>
      </c>
      <c r="C20" s="133" t="n">
        <f aca="false">C19-C13</f>
        <v>97.5</v>
      </c>
      <c r="D20" s="133"/>
      <c r="E20" s="133" t="n">
        <f aca="false">E19-E13</f>
        <v>1032.5</v>
      </c>
      <c r="F20" s="133"/>
      <c r="G20" s="133" t="n">
        <f aca="false">G19-G13</f>
        <v>1900</v>
      </c>
      <c r="H20" s="133"/>
      <c r="I20" s="133" t="n">
        <f aca="false">I19-I13</f>
        <v>3049.375</v>
      </c>
      <c r="J20" s="133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</row>
    <row r="21" customFormat="false" ht="15" hidden="false" customHeight="true" outlineLevel="0" collapsed="false">
      <c r="A21" s="2"/>
      <c r="B21" s="134" t="s">
        <v>135</v>
      </c>
      <c r="C21" s="135" t="n">
        <f aca="false">C19/C13</f>
        <v>1.015</v>
      </c>
      <c r="D21" s="135"/>
      <c r="E21" s="135" t="n">
        <f aca="false">E19/E13</f>
        <v>1.1475</v>
      </c>
      <c r="F21" s="135"/>
      <c r="G21" s="135" t="n">
        <f aca="false">G19/G13</f>
        <v>1.2375</v>
      </c>
      <c r="H21" s="135"/>
      <c r="I21" s="135" t="n">
        <f aca="false">I19/I13</f>
        <v>1.35875</v>
      </c>
      <c r="J21" s="135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</row>
    <row r="22" customFormat="false" ht="15" hidden="false" customHeight="true" outlineLevel="0" collapsed="false">
      <c r="A22" s="2"/>
      <c r="B22" s="120" t="s">
        <v>136</v>
      </c>
      <c r="C22" s="131" t="n">
        <f aca="false">C13/C18</f>
        <v>1083.74384236453</v>
      </c>
      <c r="D22" s="131"/>
      <c r="E22" s="131" t="n">
        <f aca="false">E13/E18</f>
        <v>958.605664488017</v>
      </c>
      <c r="F22" s="131"/>
      <c r="G22" s="131" t="n">
        <f aca="false">G13/G18</f>
        <v>888.888888888889</v>
      </c>
      <c r="H22" s="131"/>
      <c r="I22" s="131" t="n">
        <f aca="false">I13/I18</f>
        <v>809.567617295308</v>
      </c>
      <c r="J22" s="131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3" customFormat="false" ht="15" hidden="false" customHeight="true" outlineLevel="0" collapsed="false">
      <c r="A23" s="2"/>
      <c r="B23" s="120" t="s">
        <v>137</v>
      </c>
      <c r="C23" s="136" t="s">
        <v>138</v>
      </c>
      <c r="D23" s="136"/>
      <c r="E23" s="136" t="s">
        <v>139</v>
      </c>
      <c r="F23" s="136"/>
      <c r="G23" s="136" t="s">
        <v>140</v>
      </c>
      <c r="H23" s="136"/>
      <c r="I23" s="136" t="s">
        <v>141</v>
      </c>
      <c r="J23" s="136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</row>
    <row r="24" customFormat="false" ht="15" hidden="false" customHeight="true" outlineLevel="0" collapsed="false">
      <c r="A24" s="2"/>
      <c r="B24" s="120" t="s">
        <v>142</v>
      </c>
      <c r="C24" s="136" t="s">
        <v>143</v>
      </c>
      <c r="D24" s="136"/>
      <c r="E24" s="136" t="s">
        <v>143</v>
      </c>
      <c r="F24" s="136"/>
      <c r="G24" s="136" t="s">
        <v>144</v>
      </c>
      <c r="H24" s="136"/>
      <c r="I24" s="136" t="s">
        <v>145</v>
      </c>
      <c r="J24" s="136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</row>
    <row r="25" customFormat="false" ht="15" hidden="false" customHeight="tru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</row>
    <row r="26" customFormat="false" ht="17.25" hidden="false" customHeight="true" outlineLevel="0" collapsed="false">
      <c r="A26" s="2"/>
      <c r="B26" s="137" t="s">
        <v>146</v>
      </c>
      <c r="C26" s="137"/>
      <c r="D26" s="137"/>
      <c r="E26" s="137"/>
      <c r="F26" s="137"/>
      <c r="G26" s="137"/>
      <c r="H26" s="137"/>
      <c r="I26" s="137"/>
      <c r="J26" s="137"/>
      <c r="K26" s="137"/>
      <c r="L26" s="137"/>
      <c r="M26" s="137"/>
      <c r="N26" s="137"/>
      <c r="O26" s="2"/>
      <c r="P26" s="138" t="s">
        <v>147</v>
      </c>
      <c r="Q26" s="138" t="s">
        <v>4</v>
      </c>
      <c r="R26" s="138" t="s">
        <v>148</v>
      </c>
      <c r="S26" s="138" t="s">
        <v>149</v>
      </c>
      <c r="T26" s="2"/>
      <c r="U26" s="2"/>
      <c r="V26" s="2"/>
    </row>
    <row r="27" customFormat="false" ht="15" hidden="false" customHeight="true" outlineLevel="0" collapsed="false">
      <c r="A27" s="2"/>
      <c r="B27" s="139" t="s">
        <v>150</v>
      </c>
      <c r="C27" s="139"/>
      <c r="D27" s="139"/>
      <c r="E27" s="140" t="s">
        <v>151</v>
      </c>
      <c r="F27" s="140"/>
      <c r="G27" s="140"/>
      <c r="H27" s="141" t="s">
        <v>152</v>
      </c>
      <c r="I27" s="141"/>
      <c r="J27" s="141"/>
      <c r="K27" s="142" t="s">
        <v>153</v>
      </c>
      <c r="L27" s="142"/>
      <c r="M27" s="142"/>
      <c r="N27" s="2"/>
      <c r="O27" s="2"/>
      <c r="P27" s="138" t="s">
        <v>154</v>
      </c>
      <c r="Q27" s="143" t="n">
        <f aca="false">C16</f>
        <v>239.909090909091</v>
      </c>
      <c r="R27" s="144" t="n">
        <f aca="false">C21</f>
        <v>1.015</v>
      </c>
      <c r="S27" s="145" t="n">
        <f aca="false">C20</f>
        <v>97.5</v>
      </c>
      <c r="T27" s="2"/>
      <c r="U27" s="2"/>
      <c r="V27" s="2"/>
    </row>
    <row r="28" customFormat="false" ht="15" hidden="false" customHeight="true" outlineLevel="0" collapsed="false">
      <c r="A28" s="2"/>
      <c r="B28" s="146" t="n">
        <f aca="false">C13+E13+G13+I13</f>
        <v>30000</v>
      </c>
      <c r="C28" s="146"/>
      <c r="D28" s="146"/>
      <c r="E28" s="147" t="n">
        <f aca="false">C18+E18+G18+I18</f>
        <v>32.7994318181818</v>
      </c>
      <c r="F28" s="147"/>
      <c r="G28" s="147"/>
      <c r="H28" s="146" t="n">
        <f aca="false">C19+E19+G19+I19</f>
        <v>36079.375</v>
      </c>
      <c r="I28" s="146"/>
      <c r="J28" s="146"/>
      <c r="K28" s="146" t="n">
        <f aca="false">C20+E20+G20+I20</f>
        <v>6079.375</v>
      </c>
      <c r="L28" s="146"/>
      <c r="M28" s="146"/>
      <c r="N28" s="2"/>
      <c r="O28" s="2"/>
      <c r="P28" s="138" t="s">
        <v>155</v>
      </c>
      <c r="Q28" s="143" t="n">
        <f aca="false">E16</f>
        <v>292.090909090909</v>
      </c>
      <c r="R28" s="144" t="n">
        <f aca="false">E21</f>
        <v>1.1475</v>
      </c>
      <c r="S28" s="145" t="n">
        <f aca="false">E20</f>
        <v>1032.5</v>
      </c>
      <c r="T28" s="2"/>
      <c r="U28" s="2"/>
      <c r="V28" s="2"/>
    </row>
    <row r="29" customFormat="false" ht="15" hidden="false" customHeight="true" outlineLevel="0" collapsed="false">
      <c r="A29" s="2"/>
      <c r="B29" s="146"/>
      <c r="C29" s="146"/>
      <c r="D29" s="146"/>
      <c r="E29" s="147"/>
      <c r="F29" s="147"/>
      <c r="G29" s="147"/>
      <c r="H29" s="146"/>
      <c r="I29" s="146"/>
      <c r="J29" s="146"/>
      <c r="K29" s="146"/>
      <c r="L29" s="146"/>
      <c r="M29" s="146"/>
      <c r="N29" s="2"/>
      <c r="O29" s="2"/>
      <c r="P29" s="138" t="s">
        <v>156</v>
      </c>
      <c r="Q29" s="143" t="n">
        <f aca="false">G16</f>
        <v>360</v>
      </c>
      <c r="R29" s="144" t="n">
        <f aca="false">G21</f>
        <v>1.2375</v>
      </c>
      <c r="S29" s="145" t="n">
        <f aca="false">G20</f>
        <v>1900</v>
      </c>
      <c r="T29" s="2"/>
      <c r="U29" s="2"/>
      <c r="V29" s="2"/>
    </row>
    <row r="30" customFormat="false" ht="15" hidden="false" customHeight="true" outlineLevel="0" collapsed="false">
      <c r="A30" s="2"/>
      <c r="B30" s="148"/>
      <c r="C30" s="149"/>
      <c r="D30" s="150"/>
      <c r="E30" s="148"/>
      <c r="F30" s="149"/>
      <c r="G30" s="150"/>
      <c r="H30" s="148"/>
      <c r="I30" s="149"/>
      <c r="J30" s="150"/>
      <c r="K30" s="148"/>
      <c r="L30" s="149"/>
      <c r="M30" s="150"/>
      <c r="N30" s="2"/>
      <c r="O30" s="2"/>
      <c r="P30" s="138" t="s">
        <v>157</v>
      </c>
      <c r="Q30" s="143" t="n">
        <f aca="false">I16</f>
        <v>419.977272727273</v>
      </c>
      <c r="R30" s="144" t="n">
        <f aca="false">I21</f>
        <v>1.35875</v>
      </c>
      <c r="S30" s="145" t="n">
        <f aca="false">I20</f>
        <v>3049.375</v>
      </c>
      <c r="T30" s="2"/>
      <c r="U30" s="2"/>
      <c r="V30" s="2"/>
    </row>
    <row r="31" customFormat="false" ht="15" hidden="false" customHeight="tru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</row>
    <row r="32" customFormat="false" ht="15" hidden="false" customHeight="true" outlineLevel="0" collapsed="false">
      <c r="A32" s="2"/>
      <c r="B32" s="151" t="s">
        <v>158</v>
      </c>
      <c r="C32" s="151"/>
      <c r="D32" s="151"/>
      <c r="E32" s="141" t="s">
        <v>159</v>
      </c>
      <c r="F32" s="141"/>
      <c r="G32" s="141"/>
      <c r="H32" s="152" t="s">
        <v>160</v>
      </c>
      <c r="I32" s="152"/>
      <c r="J32" s="152"/>
      <c r="K32" s="140" t="s">
        <v>161</v>
      </c>
      <c r="L32" s="140"/>
      <c r="M32" s="140"/>
      <c r="N32" s="2"/>
      <c r="O32" s="2"/>
      <c r="P32" s="2"/>
      <c r="Q32" s="2"/>
      <c r="R32" s="2"/>
      <c r="S32" s="2"/>
      <c r="T32" s="2"/>
      <c r="U32" s="2"/>
      <c r="V32" s="2"/>
    </row>
    <row r="33" customFormat="false" ht="15" hidden="false" customHeight="true" outlineLevel="0" collapsed="false">
      <c r="A33" s="2"/>
      <c r="B33" s="153" t="n">
        <f aca="false">(C19+E19+G19+I19)/(C13+E13+G13+I13)</f>
        <v>1.20264583333333</v>
      </c>
      <c r="C33" s="153"/>
      <c r="D33" s="153"/>
      <c r="E33" s="154" t="n">
        <f aca="false">C16+E16+G16+I16</f>
        <v>1311.97727272727</v>
      </c>
      <c r="F33" s="154"/>
      <c r="G33" s="154"/>
      <c r="H33" s="154" t="n">
        <f aca="false">(C13+E13+G13+I13)/$B$6</f>
        <v>1363.63636363636</v>
      </c>
      <c r="I33" s="154"/>
      <c r="J33" s="154"/>
      <c r="K33" s="146" t="n">
        <f aca="false">(C13+E13+G13+I13)/(C18+E18+G18+I18)</f>
        <v>914.649990472396</v>
      </c>
      <c r="L33" s="146"/>
      <c r="M33" s="146"/>
      <c r="N33" s="2"/>
      <c r="O33" s="2"/>
      <c r="P33" s="2"/>
      <c r="Q33" s="2"/>
      <c r="R33" s="2"/>
      <c r="S33" s="2"/>
      <c r="T33" s="2"/>
      <c r="U33" s="2"/>
      <c r="V33" s="2"/>
    </row>
    <row r="34" customFormat="false" ht="15" hidden="false" customHeight="true" outlineLevel="0" collapsed="false">
      <c r="A34" s="2"/>
      <c r="B34" s="153"/>
      <c r="C34" s="153"/>
      <c r="D34" s="153"/>
      <c r="E34" s="154"/>
      <c r="F34" s="154"/>
      <c r="G34" s="154"/>
      <c r="H34" s="154"/>
      <c r="I34" s="154"/>
      <c r="J34" s="154"/>
      <c r="K34" s="146"/>
      <c r="L34" s="146"/>
      <c r="M34" s="146"/>
      <c r="N34" s="2"/>
      <c r="O34" s="2"/>
      <c r="P34" s="2"/>
      <c r="Q34" s="2"/>
      <c r="R34" s="2"/>
      <c r="S34" s="2"/>
      <c r="T34" s="2"/>
      <c r="U34" s="2"/>
      <c r="V34" s="2"/>
    </row>
    <row r="35" customFormat="false" ht="15" hidden="false" customHeight="true" outlineLevel="0" collapsed="false">
      <c r="A35" s="2"/>
      <c r="B35" s="148"/>
      <c r="C35" s="149"/>
      <c r="D35" s="150"/>
      <c r="E35" s="148"/>
      <c r="F35" s="149"/>
      <c r="G35" s="150"/>
      <c r="H35" s="148"/>
      <c r="I35" s="149"/>
      <c r="J35" s="150"/>
      <c r="K35" s="148"/>
      <c r="L35" s="149"/>
      <c r="M35" s="150"/>
      <c r="N35" s="2"/>
      <c r="O35" s="2"/>
      <c r="P35" s="2"/>
      <c r="Q35" s="2"/>
      <c r="R35" s="2"/>
      <c r="S35" s="2"/>
      <c r="T35" s="2"/>
      <c r="U35" s="2"/>
      <c r="V35" s="2"/>
    </row>
    <row r="36" customFormat="false" ht="15.75" hidden="false" customHeight="true" outlineLevel="0" collapsed="false">
      <c r="A36" s="2"/>
      <c r="B36" s="36" t="s">
        <v>162</v>
      </c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2"/>
      <c r="P36" s="2"/>
      <c r="Q36" s="2"/>
      <c r="R36" s="2"/>
      <c r="S36" s="2"/>
      <c r="T36" s="2"/>
      <c r="U36" s="2"/>
      <c r="V36" s="2"/>
    </row>
    <row r="37" customFormat="false" ht="15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</row>
    <row r="38" customFormat="false" ht="15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</row>
    <row r="39" customFormat="false" ht="1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</row>
    <row r="40" customFormat="false" ht="1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</row>
    <row r="41" customFormat="false" ht="15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</row>
    <row r="42" customFormat="false" ht="1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</row>
    <row r="43" customFormat="false" ht="1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</row>
    <row r="44" customFormat="false" ht="1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</row>
    <row r="45" customFormat="false" ht="1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</row>
    <row r="46" customFormat="false" ht="1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7" customFormat="false" ht="1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</row>
    <row r="48" customFormat="false" ht="1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</row>
    <row r="49" customFormat="false" ht="1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</row>
    <row r="50" customFormat="false" ht="1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</row>
    <row r="51" customFormat="false" ht="1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</row>
    <row r="52" customFormat="false" ht="1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</row>
    <row r="53" customFormat="false" ht="17.25" hidden="false" customHeight="true" outlineLevel="0" collapsed="false">
      <c r="A53" s="2"/>
      <c r="B53" s="155" t="s">
        <v>110</v>
      </c>
      <c r="C53" s="155"/>
      <c r="D53" s="155"/>
      <c r="E53" s="155"/>
      <c r="F53" s="155"/>
      <c r="G53" s="155"/>
      <c r="H53" s="155"/>
      <c r="I53" s="155"/>
      <c r="J53" s="155"/>
      <c r="K53" s="155"/>
      <c r="L53" s="155"/>
      <c r="M53" s="155"/>
      <c r="N53" s="155"/>
      <c r="O53" s="2"/>
      <c r="P53" s="2"/>
      <c r="Q53" s="2"/>
      <c r="R53" s="2"/>
      <c r="S53" s="2"/>
      <c r="T53" s="2"/>
      <c r="U53" s="2"/>
      <c r="V53" s="2"/>
    </row>
    <row r="54" customFormat="false" ht="25.5" hidden="false" customHeight="true" outlineLevel="0" collapsed="false">
      <c r="A54" s="2"/>
      <c r="B54" s="156" t="s">
        <v>163</v>
      </c>
      <c r="C54" s="156"/>
      <c r="D54" s="156"/>
      <c r="E54" s="156"/>
      <c r="F54" s="156"/>
      <c r="G54" s="156"/>
      <c r="H54" s="156"/>
      <c r="I54" s="156"/>
      <c r="J54" s="156"/>
      <c r="K54" s="156"/>
      <c r="L54" s="156"/>
      <c r="M54" s="156"/>
      <c r="N54" s="156"/>
      <c r="O54" s="2"/>
      <c r="P54" s="2"/>
      <c r="Q54" s="2"/>
      <c r="R54" s="2"/>
      <c r="S54" s="2"/>
      <c r="T54" s="2"/>
      <c r="U54" s="2"/>
      <c r="V54" s="2"/>
    </row>
    <row r="55" customFormat="false" ht="25.5" hidden="false" customHeight="true" outlineLevel="0" collapsed="false">
      <c r="A55" s="2"/>
      <c r="B55" s="156"/>
      <c r="C55" s="156"/>
      <c r="D55" s="156"/>
      <c r="E55" s="156"/>
      <c r="F55" s="156"/>
      <c r="G55" s="156"/>
      <c r="H55" s="156"/>
      <c r="I55" s="156"/>
      <c r="J55" s="156"/>
      <c r="K55" s="156"/>
      <c r="L55" s="156"/>
      <c r="M55" s="156"/>
      <c r="N55" s="156"/>
      <c r="O55" s="2"/>
      <c r="P55" s="2"/>
      <c r="Q55" s="2"/>
      <c r="R55" s="2"/>
      <c r="S55" s="2"/>
      <c r="T55" s="2"/>
      <c r="U55" s="2"/>
      <c r="V55" s="2"/>
    </row>
    <row r="56" customFormat="false" ht="25.5" hidden="false" customHeight="true" outlineLevel="0" collapsed="false">
      <c r="A56" s="2"/>
      <c r="B56" s="156"/>
      <c r="C56" s="156"/>
      <c r="D56" s="156"/>
      <c r="E56" s="156"/>
      <c r="F56" s="156"/>
      <c r="G56" s="156"/>
      <c r="H56" s="156"/>
      <c r="I56" s="156"/>
      <c r="J56" s="156"/>
      <c r="K56" s="156"/>
      <c r="L56" s="156"/>
      <c r="M56" s="156"/>
      <c r="N56" s="156"/>
      <c r="O56" s="2"/>
      <c r="P56" s="2"/>
      <c r="Q56" s="2"/>
      <c r="R56" s="2"/>
      <c r="S56" s="2"/>
      <c r="T56" s="2"/>
      <c r="U56" s="2"/>
      <c r="V56" s="2"/>
    </row>
    <row r="57" customFormat="false" ht="1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</row>
    <row r="58" customFormat="false" ht="15" hidden="false" customHeight="true" outlineLevel="0" collapsed="false">
      <c r="A58" s="2"/>
      <c r="B58" s="157" t="s">
        <v>164</v>
      </c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2"/>
      <c r="P58" s="2"/>
      <c r="Q58" s="2"/>
      <c r="R58" s="2"/>
      <c r="S58" s="2"/>
      <c r="T58" s="2"/>
      <c r="U58" s="2"/>
      <c r="V58" s="2"/>
    </row>
    <row r="59" customFormat="false" ht="1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</row>
    <row r="60" customFormat="false" ht="1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1" customFormat="false" ht="1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</row>
    <row r="62" customFormat="false" ht="1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</row>
    <row r="63" customFormat="false" ht="1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</row>
    <row r="64" customFormat="false" ht="1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</row>
    <row r="65" customFormat="false" ht="1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</row>
    <row r="66" customFormat="false" ht="1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</row>
    <row r="67" customFormat="false" ht="1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</row>
    <row r="68" customFormat="false" ht="1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</row>
    <row r="69" customFormat="false" ht="1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</row>
    <row r="70" customFormat="false" ht="1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</row>
    <row r="71" customFormat="false" ht="1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</row>
    <row r="72" customFormat="false" ht="1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</row>
    <row r="73" customFormat="false" ht="1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</row>
    <row r="74" customFormat="false" ht="1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5" customFormat="false" ht="1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</row>
    <row r="76" customFormat="false" ht="1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</row>
    <row r="77" customFormat="false" ht="1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</row>
    <row r="78" customFormat="false" ht="1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</row>
    <row r="79" customFormat="false" ht="1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</row>
    <row r="80" customFormat="false" ht="1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</row>
    <row r="81" customFormat="false" ht="1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</row>
    <row r="82" customFormat="false" ht="1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</row>
    <row r="83" customFormat="false" ht="1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</row>
    <row r="84" customFormat="false" ht="1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</row>
    <row r="85" customFormat="false" ht="1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</row>
    <row r="86" customFormat="false" ht="1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  <row r="87" customFormat="false" ht="1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</row>
    <row r="88" customFormat="false" ht="1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</row>
    <row r="89" customFormat="false" ht="1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</row>
    <row r="90" customFormat="false" ht="1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</row>
    <row r="91" customFormat="false" ht="1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</row>
    <row r="92" customFormat="false" ht="1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</row>
    <row r="93" customFormat="false" ht="1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</row>
    <row r="94" customFormat="false" ht="1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</row>
    <row r="95" customFormat="false" ht="1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</row>
    <row r="96" customFormat="false" ht="1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</row>
    <row r="97" customFormat="false" ht="1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</row>
    <row r="98" customFormat="false" ht="1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</row>
    <row r="99" customFormat="false" ht="1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</row>
    <row r="100" customFormat="false" ht="1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</row>
    <row r="101" customFormat="false" ht="1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</row>
    <row r="102" customFormat="false" ht="1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</row>
    <row r="103" customFormat="false" ht="1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</row>
    <row r="104" customFormat="false" ht="1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</row>
    <row r="105" customFormat="false" ht="1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</row>
    <row r="106" customFormat="false" ht="1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</row>
    <row r="107" customFormat="false" ht="1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</row>
    <row r="108" customFormat="false" ht="1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</row>
    <row r="109" customFormat="false" ht="1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</row>
    <row r="110" customFormat="false" ht="1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</row>
    <row r="111" customFormat="false" ht="1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</row>
    <row r="112" customFormat="false" ht="1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</row>
    <row r="113" customFormat="false" ht="1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</row>
    <row r="114" customFormat="false" ht="1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</row>
    <row r="115" customFormat="false" ht="1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</row>
    <row r="116" customFormat="false" ht="1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</row>
    <row r="117" customFormat="false" ht="1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</row>
    <row r="118" customFormat="false" ht="1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</row>
    <row r="119" customFormat="false" ht="1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</row>
    <row r="120" customFormat="false" ht="1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</row>
    <row r="121" customFormat="false" ht="1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</row>
    <row r="122" customFormat="false" ht="1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</row>
    <row r="123" customFormat="false" ht="1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</row>
    <row r="124" customFormat="false" ht="1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</row>
    <row r="125" customFormat="false" ht="1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</row>
    <row r="126" customFormat="false" ht="1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</row>
    <row r="127" customFormat="false" ht="1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</row>
    <row r="128" customFormat="false" ht="1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</row>
    <row r="129" customFormat="false" ht="1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</row>
    <row r="130" customFormat="false" ht="1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</row>
    <row r="131" customFormat="false" ht="1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</row>
    <row r="132" customFormat="false" ht="1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</row>
    <row r="133" customFormat="false" ht="1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</row>
    <row r="134" customFormat="false" ht="1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</row>
    <row r="135" customFormat="false" ht="1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</row>
    <row r="136" customFormat="false" ht="1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</row>
    <row r="137" customFormat="false" ht="1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</row>
    <row r="138" customFormat="false" ht="1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</row>
    <row r="139" customFormat="false" ht="1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</row>
    <row r="140" customFormat="false" ht="1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</row>
    <row r="141" customFormat="false" ht="1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</row>
    <row r="142" customFormat="false" ht="1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</row>
    <row r="143" customFormat="false" ht="1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</row>
    <row r="144" customFormat="false" ht="1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</row>
    <row r="145" customFormat="false" ht="1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</row>
    <row r="146" customFormat="false" ht="1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</row>
    <row r="147" customFormat="false" ht="1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</row>
    <row r="148" customFormat="false" ht="1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</row>
    <row r="149" customFormat="false" ht="1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</row>
    <row r="150" customFormat="false" ht="1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</row>
    <row r="151" customFormat="false" ht="1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</row>
    <row r="152" customFormat="false" ht="1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</row>
    <row r="153" customFormat="false" ht="1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</row>
    <row r="154" customFormat="false" ht="1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</row>
    <row r="155" customFormat="false" ht="1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</row>
    <row r="156" customFormat="false" ht="1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</row>
    <row r="157" customFormat="false" ht="1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</row>
    <row r="158" customFormat="false" ht="1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</row>
    <row r="159" customFormat="false" ht="1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</row>
    <row r="160" customFormat="false" ht="1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</row>
  </sheetData>
  <mergeCells count="91">
    <mergeCell ref="B2:N2"/>
    <mergeCell ref="B3:N3"/>
    <mergeCell ref="B4:N4"/>
    <mergeCell ref="B5:D5"/>
    <mergeCell ref="E5:G5"/>
    <mergeCell ref="H5:J5"/>
    <mergeCell ref="K5:M5"/>
    <mergeCell ref="B6:D6"/>
    <mergeCell ref="E6:G6"/>
    <mergeCell ref="H6:J6"/>
    <mergeCell ref="K6:M6"/>
    <mergeCell ref="B8:D8"/>
    <mergeCell ref="E8:G8"/>
    <mergeCell ref="H8:J8"/>
    <mergeCell ref="B9:D9"/>
    <mergeCell ref="E9:G9"/>
    <mergeCell ref="H9:J9"/>
    <mergeCell ref="B11:N11"/>
    <mergeCell ref="C12:D12"/>
    <mergeCell ref="E12:F12"/>
    <mergeCell ref="G12:H12"/>
    <mergeCell ref="I12:J12"/>
    <mergeCell ref="C13:D13"/>
    <mergeCell ref="E13:F13"/>
    <mergeCell ref="G13:H13"/>
    <mergeCell ref="I13:J13"/>
    <mergeCell ref="C14:D14"/>
    <mergeCell ref="E14:F14"/>
    <mergeCell ref="G14:H14"/>
    <mergeCell ref="I14:J14"/>
    <mergeCell ref="C15:D15"/>
    <mergeCell ref="E15:F15"/>
    <mergeCell ref="G15:H15"/>
    <mergeCell ref="I15:J15"/>
    <mergeCell ref="C16:D16"/>
    <mergeCell ref="E16:F16"/>
    <mergeCell ref="G16:H16"/>
    <mergeCell ref="I16:J16"/>
    <mergeCell ref="C17:D17"/>
    <mergeCell ref="E17:F17"/>
    <mergeCell ref="G17:H17"/>
    <mergeCell ref="I17:J17"/>
    <mergeCell ref="C18:D18"/>
    <mergeCell ref="E18:F18"/>
    <mergeCell ref="G18:H18"/>
    <mergeCell ref="I18:J18"/>
    <mergeCell ref="C19:D19"/>
    <mergeCell ref="E19:F19"/>
    <mergeCell ref="G19:H19"/>
    <mergeCell ref="I19:J19"/>
    <mergeCell ref="C20:D20"/>
    <mergeCell ref="E20:F20"/>
    <mergeCell ref="G20:H20"/>
    <mergeCell ref="I20:J20"/>
    <mergeCell ref="C21:D21"/>
    <mergeCell ref="E21:F21"/>
    <mergeCell ref="G21:H21"/>
    <mergeCell ref="I21:J21"/>
    <mergeCell ref="C22:D22"/>
    <mergeCell ref="E22:F22"/>
    <mergeCell ref="G22:H22"/>
    <mergeCell ref="I22:J22"/>
    <mergeCell ref="C23:D23"/>
    <mergeCell ref="E23:F23"/>
    <mergeCell ref="G23:H23"/>
    <mergeCell ref="I23:J23"/>
    <mergeCell ref="C24:D24"/>
    <mergeCell ref="E24:F24"/>
    <mergeCell ref="G24:H24"/>
    <mergeCell ref="I24:J24"/>
    <mergeCell ref="B26:N26"/>
    <mergeCell ref="B27:D27"/>
    <mergeCell ref="E27:G27"/>
    <mergeCell ref="H27:J27"/>
    <mergeCell ref="K27:M27"/>
    <mergeCell ref="B28:D29"/>
    <mergeCell ref="E28:G29"/>
    <mergeCell ref="H28:J29"/>
    <mergeCell ref="K28:M29"/>
    <mergeCell ref="B32:D32"/>
    <mergeCell ref="E32:G32"/>
    <mergeCell ref="H32:J32"/>
    <mergeCell ref="K32:M32"/>
    <mergeCell ref="B33:D34"/>
    <mergeCell ref="E33:G34"/>
    <mergeCell ref="H33:J34"/>
    <mergeCell ref="K33:M34"/>
    <mergeCell ref="B36:N36"/>
    <mergeCell ref="B53:N53"/>
    <mergeCell ref="B54:N56"/>
    <mergeCell ref="B58:N58"/>
  </mergeCells>
  <conditionalFormatting sqref="C20:J20">
    <cfRule type="expression" priority="2" aboveAverage="0" equalAverage="0" bottom="0" percent="0" rank="0" text="" dxfId="0">
      <formula>C20&lt;0</formula>
    </cfRule>
  </conditionalFormatting>
  <printOptions headings="false" gridLines="false" gridLinesSet="true" horizontalCentered="false" verticalCentered="false"/>
  <pageMargins left="0.2" right="0.2" top="0.3" bottom="0.3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1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4"/>
    <col collapsed="false" customWidth="true" hidden="false" outlineLevel="0" max="14" min="3" style="1" width="14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31.5" hidden="false" customHeight="true" outlineLevel="0" collapsed="false">
      <c r="A2" s="2"/>
      <c r="B2" s="112" t="s">
        <v>165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2"/>
      <c r="O2" s="2"/>
      <c r="P2" s="2"/>
    </row>
    <row r="3" customFormat="false" ht="15" hidden="false" customHeight="true" outlineLevel="0" collapsed="false">
      <c r="A3" s="2"/>
      <c r="B3" s="113" t="s">
        <v>166</v>
      </c>
      <c r="C3" s="113"/>
      <c r="D3" s="113"/>
      <c r="E3" s="113"/>
      <c r="F3" s="113"/>
      <c r="G3" s="113"/>
      <c r="H3" s="113"/>
      <c r="I3" s="113"/>
      <c r="J3" s="113"/>
      <c r="K3" s="113"/>
      <c r="L3" s="113"/>
      <c r="M3" s="113"/>
      <c r="N3" s="2"/>
      <c r="O3" s="2"/>
      <c r="P3" s="2"/>
    </row>
    <row r="4" customFormat="false" ht="15" hidden="false" customHeight="true" outlineLevel="0" collapsed="false">
      <c r="A4" s="2"/>
      <c r="B4" s="158" t="s">
        <v>167</v>
      </c>
      <c r="C4" s="158"/>
      <c r="D4" s="158"/>
      <c r="E4" s="158"/>
      <c r="F4" s="158"/>
      <c r="G4" s="158"/>
      <c r="H4" s="158"/>
      <c r="I4" s="158"/>
      <c r="J4" s="158"/>
      <c r="K4" s="158"/>
      <c r="L4" s="158"/>
      <c r="M4" s="158"/>
      <c r="N4" s="2"/>
      <c r="O4" s="2"/>
      <c r="P4" s="2"/>
    </row>
    <row r="5" customFormat="false" ht="1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customFormat="false" ht="15" hidden="false" customHeight="true" outlineLevel="0" collapsed="false">
      <c r="A6" s="2"/>
      <c r="B6" s="159" t="s">
        <v>168</v>
      </c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2"/>
      <c r="O6" s="2"/>
      <c r="P6" s="2"/>
    </row>
    <row r="7" customFormat="false" ht="15" hidden="false" customHeight="true" outlineLevel="0" collapsed="false">
      <c r="A7" s="2"/>
      <c r="B7" s="160" t="s">
        <v>169</v>
      </c>
      <c r="C7" s="2"/>
      <c r="D7" s="161" t="n">
        <v>1100</v>
      </c>
      <c r="E7" s="2"/>
      <c r="F7" s="160" t="s">
        <v>117</v>
      </c>
      <c r="G7" s="2"/>
      <c r="H7" s="162" t="n">
        <v>0.025</v>
      </c>
      <c r="I7" s="2"/>
      <c r="J7" s="160" t="s">
        <v>170</v>
      </c>
      <c r="K7" s="2"/>
      <c r="L7" s="163" t="s">
        <v>171</v>
      </c>
      <c r="M7" s="2"/>
      <c r="N7" s="2"/>
      <c r="O7" s="2"/>
      <c r="P7" s="2"/>
    </row>
    <row r="8" customFormat="false" ht="15" hidden="false" customHeight="true" outlineLevel="0" collapsed="false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customFormat="false" ht="19.5" hidden="false" customHeight="true" outlineLevel="0" collapsed="false">
      <c r="A9" s="2"/>
      <c r="B9" s="164" t="s">
        <v>172</v>
      </c>
      <c r="C9" s="164"/>
      <c r="D9" s="164"/>
      <c r="E9" s="164"/>
      <c r="F9" s="164"/>
      <c r="G9" s="164"/>
      <c r="H9" s="164"/>
      <c r="I9" s="164"/>
      <c r="J9" s="164"/>
      <c r="K9" s="164"/>
      <c r="L9" s="164"/>
      <c r="M9" s="164"/>
      <c r="N9" s="2"/>
      <c r="O9" s="2"/>
      <c r="P9" s="2"/>
    </row>
    <row r="10" customFormat="false" ht="15" hidden="false" customHeight="true" outlineLevel="0" collapsed="false">
      <c r="A10" s="2"/>
      <c r="B10" s="165" t="s">
        <v>173</v>
      </c>
      <c r="C10" s="165"/>
      <c r="D10" s="165"/>
      <c r="E10" s="165"/>
      <c r="F10" s="165"/>
      <c r="G10" s="165"/>
      <c r="H10" s="165"/>
      <c r="I10" s="165"/>
      <c r="J10" s="165"/>
      <c r="K10" s="165"/>
      <c r="L10" s="165"/>
      <c r="M10" s="165"/>
      <c r="N10" s="2"/>
      <c r="O10" s="2"/>
      <c r="P10" s="2"/>
    </row>
    <row r="11" customFormat="false" ht="15.75" hidden="false" customHeight="true" outlineLevel="0" collapsed="false">
      <c r="A11" s="2"/>
      <c r="B11" s="166" t="s">
        <v>174</v>
      </c>
      <c r="C11" s="2"/>
      <c r="D11" s="167" t="n">
        <v>6500</v>
      </c>
      <c r="E11" s="2"/>
      <c r="F11" s="166" t="s">
        <v>175</v>
      </c>
      <c r="G11" s="2"/>
      <c r="H11" s="168" t="n">
        <v>17</v>
      </c>
      <c r="I11" s="2"/>
      <c r="J11" s="2"/>
      <c r="K11" s="2"/>
      <c r="L11" s="2"/>
      <c r="M11" s="2"/>
      <c r="N11" s="2"/>
      <c r="O11" s="2"/>
      <c r="P11" s="2"/>
    </row>
    <row r="12" customFormat="false" ht="15" hidden="false" customHeight="tru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customFormat="false" ht="15" hidden="false" customHeight="true" outlineLevel="0" collapsed="false">
      <c r="A13" s="2"/>
      <c r="B13" s="169" t="s">
        <v>44</v>
      </c>
      <c r="C13" s="170" t="s">
        <v>123</v>
      </c>
      <c r="D13" s="170"/>
      <c r="E13" s="170" t="s">
        <v>124</v>
      </c>
      <c r="F13" s="170"/>
      <c r="G13" s="170" t="s">
        <v>125</v>
      </c>
      <c r="H13" s="170"/>
      <c r="I13" s="170" t="s">
        <v>126</v>
      </c>
      <c r="J13" s="170"/>
      <c r="K13" s="2"/>
      <c r="L13" s="2"/>
      <c r="M13" s="2"/>
      <c r="N13" s="2"/>
      <c r="O13" s="2"/>
      <c r="P13" s="2"/>
    </row>
    <row r="14" customFormat="false" ht="15" hidden="false" customHeight="true" outlineLevel="0" collapsed="false">
      <c r="A14" s="2"/>
      <c r="B14" s="171" t="s">
        <v>176</v>
      </c>
      <c r="C14" s="172" t="n">
        <f aca="false">$D$11</f>
        <v>6500</v>
      </c>
      <c r="D14" s="172"/>
      <c r="E14" s="172" t="n">
        <f aca="false">$D$11</f>
        <v>6500</v>
      </c>
      <c r="F14" s="172"/>
      <c r="G14" s="172" t="n">
        <f aca="false">$D$11</f>
        <v>6500</v>
      </c>
      <c r="H14" s="172"/>
      <c r="I14" s="172" t="n">
        <f aca="false">$D$11</f>
        <v>6500</v>
      </c>
      <c r="J14" s="172"/>
      <c r="K14" s="2"/>
      <c r="L14" s="2"/>
      <c r="M14" s="2"/>
      <c r="N14" s="2"/>
      <c r="O14" s="2"/>
      <c r="P14" s="2"/>
    </row>
    <row r="15" customFormat="false" ht="15" hidden="false" customHeight="true" outlineLevel="0" collapsed="false">
      <c r="A15" s="2"/>
      <c r="B15" s="173" t="s">
        <v>177</v>
      </c>
      <c r="C15" s="174" t="n">
        <f aca="false">$D$11/$H$11</f>
        <v>382.352941176471</v>
      </c>
      <c r="D15" s="174"/>
      <c r="E15" s="174" t="n">
        <f aca="false">$D$11/$H$11</f>
        <v>382.352941176471</v>
      </c>
      <c r="F15" s="174"/>
      <c r="G15" s="174" t="n">
        <f aca="false">$D$11/$H$11</f>
        <v>382.352941176471</v>
      </c>
      <c r="H15" s="174"/>
      <c r="I15" s="174" t="n">
        <f aca="false">$D$11/$H$11</f>
        <v>382.352941176471</v>
      </c>
      <c r="J15" s="174"/>
      <c r="K15" s="2"/>
      <c r="L15" s="2"/>
      <c r="M15" s="2"/>
      <c r="N15" s="2"/>
      <c r="O15" s="2"/>
      <c r="P15" s="2"/>
    </row>
    <row r="16" customFormat="false" ht="15" hidden="false" customHeight="true" outlineLevel="0" collapsed="false">
      <c r="A16" s="2"/>
      <c r="B16" s="175" t="s">
        <v>178</v>
      </c>
      <c r="C16" s="176" t="n">
        <f aca="false">0.812</f>
        <v>0.812</v>
      </c>
      <c r="D16" s="176"/>
      <c r="E16" s="176" t="n">
        <f aca="false">0.918</f>
        <v>0.918</v>
      </c>
      <c r="F16" s="176"/>
      <c r="G16" s="176" t="n">
        <f aca="false">0.99</f>
        <v>0.99</v>
      </c>
      <c r="H16" s="176"/>
      <c r="I16" s="176" t="n">
        <f aca="false">1.087</f>
        <v>1.087</v>
      </c>
      <c r="J16" s="176"/>
      <c r="K16" s="2"/>
      <c r="L16" s="2"/>
      <c r="M16" s="2"/>
      <c r="N16" s="2"/>
      <c r="O16" s="2"/>
      <c r="P16" s="2"/>
    </row>
    <row r="17" customFormat="false" ht="15" hidden="false" customHeight="true" outlineLevel="0" collapsed="false">
      <c r="A17" s="2"/>
      <c r="B17" s="177" t="s">
        <v>179</v>
      </c>
      <c r="C17" s="178" t="n">
        <f aca="false">C15*C16</f>
        <v>310.470588235294</v>
      </c>
      <c r="D17" s="178"/>
      <c r="E17" s="178" t="n">
        <f aca="false">E15*E16</f>
        <v>351</v>
      </c>
      <c r="F17" s="178"/>
      <c r="G17" s="178" t="n">
        <f aca="false">G15*G16</f>
        <v>378.529411764706</v>
      </c>
      <c r="H17" s="178"/>
      <c r="I17" s="178" t="n">
        <f aca="false">I15*I16</f>
        <v>415.617647058824</v>
      </c>
      <c r="J17" s="178"/>
      <c r="K17" s="2"/>
      <c r="L17" s="2"/>
      <c r="M17" s="2"/>
      <c r="N17" s="2"/>
      <c r="O17" s="2"/>
      <c r="P17" s="2"/>
    </row>
    <row r="18" customFormat="false" ht="15" hidden="false" customHeight="true" outlineLevel="0" collapsed="false">
      <c r="A18" s="2"/>
      <c r="B18" s="171" t="s">
        <v>180</v>
      </c>
      <c r="C18" s="179" t="n">
        <f aca="false">C17/20</f>
        <v>15.5235294117647</v>
      </c>
      <c r="D18" s="179"/>
      <c r="E18" s="179" t="n">
        <f aca="false">E17/20</f>
        <v>17.55</v>
      </c>
      <c r="F18" s="179"/>
      <c r="G18" s="179" t="n">
        <f aca="false">G17/20</f>
        <v>18.9264705882353</v>
      </c>
      <c r="H18" s="179"/>
      <c r="I18" s="179" t="n">
        <f aca="false">I17/20</f>
        <v>20.7808823529412</v>
      </c>
      <c r="J18" s="179"/>
      <c r="K18" s="2"/>
      <c r="L18" s="2"/>
      <c r="M18" s="2"/>
      <c r="N18" s="2"/>
      <c r="O18" s="2"/>
      <c r="P18" s="2"/>
    </row>
    <row r="19" customFormat="false" ht="15" hidden="false" customHeight="true" outlineLevel="0" collapsed="false">
      <c r="A19" s="2"/>
      <c r="B19" s="180" t="s">
        <v>181</v>
      </c>
      <c r="C19" s="181" t="n">
        <f aca="false">C17*$H$7</f>
        <v>7.76176470588235</v>
      </c>
      <c r="D19" s="181"/>
      <c r="E19" s="181" t="n">
        <f aca="false">E17*$H$7</f>
        <v>8.775</v>
      </c>
      <c r="F19" s="181"/>
      <c r="G19" s="181" t="n">
        <f aca="false">G17*$H$7</f>
        <v>9.46323529411765</v>
      </c>
      <c r="H19" s="181"/>
      <c r="I19" s="181" t="n">
        <f aca="false">I17*$H$7</f>
        <v>10.3904411764706</v>
      </c>
      <c r="J19" s="181"/>
      <c r="K19" s="2"/>
      <c r="L19" s="2"/>
      <c r="M19" s="2"/>
      <c r="N19" s="2"/>
      <c r="O19" s="2"/>
      <c r="P19" s="2"/>
    </row>
    <row r="20" customFormat="false" ht="15" hidden="false" customHeight="true" outlineLevel="0" collapsed="false">
      <c r="A20" s="2"/>
      <c r="B20" s="182" t="s">
        <v>182</v>
      </c>
      <c r="C20" s="172" t="n">
        <f aca="false">C19*$D$7</f>
        <v>8537.94117647059</v>
      </c>
      <c r="D20" s="172"/>
      <c r="E20" s="172" t="n">
        <f aca="false">E19*$D$7</f>
        <v>9652.5</v>
      </c>
      <c r="F20" s="172"/>
      <c r="G20" s="172" t="n">
        <f aca="false">G19*$D$7</f>
        <v>10409.5588235294</v>
      </c>
      <c r="H20" s="172"/>
      <c r="I20" s="172" t="n">
        <f aca="false">I19*$D$7</f>
        <v>11429.4852941176</v>
      </c>
      <c r="J20" s="172"/>
      <c r="K20" s="2"/>
      <c r="L20" s="2"/>
      <c r="M20" s="2"/>
      <c r="N20" s="2"/>
      <c r="O20" s="2"/>
      <c r="P20" s="2"/>
    </row>
    <row r="21" customFormat="false" ht="15" hidden="false" customHeight="true" outlineLevel="0" collapsed="false">
      <c r="A21" s="2"/>
      <c r="B21" s="183" t="s">
        <v>183</v>
      </c>
      <c r="C21" s="184" t="n">
        <f aca="false">C20-C14</f>
        <v>2037.94117647059</v>
      </c>
      <c r="D21" s="184"/>
      <c r="E21" s="184" t="n">
        <f aca="false">E20-E14</f>
        <v>3152.5</v>
      </c>
      <c r="F21" s="184"/>
      <c r="G21" s="184" t="n">
        <f aca="false">G20-G14</f>
        <v>3909.55882352941</v>
      </c>
      <c r="H21" s="184"/>
      <c r="I21" s="184" t="n">
        <f aca="false">I20-I14</f>
        <v>4929.48529411765</v>
      </c>
      <c r="J21" s="184"/>
      <c r="K21" s="2"/>
      <c r="L21" s="2"/>
      <c r="M21" s="2"/>
      <c r="N21" s="2"/>
      <c r="O21" s="2"/>
      <c r="P21" s="2"/>
    </row>
    <row r="22" customFormat="false" ht="15" hidden="false" customHeight="true" outlineLevel="0" collapsed="false">
      <c r="A22" s="2"/>
      <c r="B22" s="185" t="s">
        <v>184</v>
      </c>
      <c r="C22" s="186" t="n">
        <f aca="false">C20/C14</f>
        <v>1.31352941176471</v>
      </c>
      <c r="D22" s="186"/>
      <c r="E22" s="186" t="n">
        <f aca="false">E20/E14</f>
        <v>1.485</v>
      </c>
      <c r="F22" s="186"/>
      <c r="G22" s="186" t="n">
        <f aca="false">G20/G14</f>
        <v>1.60147058823529</v>
      </c>
      <c r="H22" s="186"/>
      <c r="I22" s="186" t="n">
        <f aca="false">I20/I14</f>
        <v>1.75838235294118</v>
      </c>
      <c r="J22" s="186"/>
      <c r="K22" s="2"/>
      <c r="L22" s="2"/>
      <c r="M22" s="2"/>
      <c r="N22" s="2"/>
      <c r="O22" s="2"/>
      <c r="P22" s="2"/>
    </row>
    <row r="23" customFormat="false" ht="15" hidden="false" customHeight="true" outlineLevel="0" collapsed="false">
      <c r="A23" s="2"/>
      <c r="B23" s="187" t="s">
        <v>185</v>
      </c>
      <c r="C23" s="188" t="n">
        <f aca="false">C14/C19</f>
        <v>837.43842364532</v>
      </c>
      <c r="D23" s="188"/>
      <c r="E23" s="188" t="n">
        <f aca="false">E14/E19</f>
        <v>740.740740740741</v>
      </c>
      <c r="F23" s="188"/>
      <c r="G23" s="188" t="n">
        <f aca="false">G14/G19</f>
        <v>686.868686868687</v>
      </c>
      <c r="H23" s="188"/>
      <c r="I23" s="188" t="n">
        <f aca="false">I14/I19</f>
        <v>625.57497700092</v>
      </c>
      <c r="J23" s="188"/>
      <c r="K23" s="2"/>
      <c r="L23" s="2"/>
      <c r="M23" s="2"/>
      <c r="N23" s="2"/>
      <c r="O23" s="2"/>
      <c r="P23" s="2"/>
    </row>
    <row r="24" customFormat="false" ht="15" hidden="false" customHeight="tru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customFormat="false" ht="15" hidden="false" customHeight="true" outlineLevel="0" collapsed="false">
      <c r="A25" s="2"/>
      <c r="B25" s="159" t="s">
        <v>186</v>
      </c>
      <c r="C25" s="159"/>
      <c r="D25" s="159"/>
      <c r="E25" s="159"/>
      <c r="F25" s="159"/>
      <c r="G25" s="159"/>
      <c r="H25" s="159"/>
      <c r="I25" s="159"/>
      <c r="J25" s="159"/>
      <c r="K25" s="159"/>
      <c r="L25" s="159"/>
      <c r="M25" s="159"/>
      <c r="N25" s="2"/>
      <c r="O25" s="2"/>
      <c r="P25" s="2"/>
    </row>
    <row r="26" customFormat="false" ht="15" hidden="false" customHeight="true" outlineLevel="0" collapsed="false">
      <c r="A26" s="2"/>
      <c r="B26" s="189" t="s">
        <v>150</v>
      </c>
      <c r="C26" s="189"/>
      <c r="D26" s="189"/>
      <c r="E26" s="190" t="s">
        <v>151</v>
      </c>
      <c r="F26" s="190"/>
      <c r="G26" s="190"/>
      <c r="H26" s="191" t="s">
        <v>153</v>
      </c>
      <c r="I26" s="191"/>
      <c r="J26" s="191"/>
      <c r="K26" s="192" t="s">
        <v>158</v>
      </c>
      <c r="L26" s="192"/>
      <c r="M26" s="192"/>
      <c r="N26" s="2"/>
      <c r="O26" s="2"/>
      <c r="P26" s="2"/>
    </row>
    <row r="27" customFormat="false" ht="15" hidden="false" customHeight="true" outlineLevel="0" collapsed="false">
      <c r="A27" s="2"/>
      <c r="B27" s="193" t="n">
        <f aca="false">C14+E14+G14+I14</f>
        <v>26000</v>
      </c>
      <c r="C27" s="193"/>
      <c r="D27" s="193"/>
      <c r="E27" s="194" t="n">
        <f aca="false">C19+E19+G19+I19</f>
        <v>36.3904411764706</v>
      </c>
      <c r="F27" s="194"/>
      <c r="G27" s="194"/>
      <c r="H27" s="193" t="n">
        <f aca="false">C21+E21+G21+I21</f>
        <v>14029.4852941177</v>
      </c>
      <c r="I27" s="193"/>
      <c r="J27" s="193"/>
      <c r="K27" s="195" t="n">
        <f aca="false">(C20+E20+G20+I20)/(C14+E14+G14+I14)</f>
        <v>1.53959558823529</v>
      </c>
      <c r="L27" s="195"/>
      <c r="M27" s="195"/>
      <c r="N27" s="2"/>
      <c r="O27" s="2"/>
      <c r="P27" s="2"/>
    </row>
    <row r="28" customFormat="false" ht="15" hidden="false" customHeight="true" outlineLevel="0" collapsed="false">
      <c r="A28" s="2"/>
      <c r="B28" s="193"/>
      <c r="C28" s="193"/>
      <c r="D28" s="193"/>
      <c r="E28" s="194"/>
      <c r="F28" s="194"/>
      <c r="G28" s="194"/>
      <c r="H28" s="193"/>
      <c r="I28" s="193"/>
      <c r="J28" s="193"/>
      <c r="K28" s="195"/>
      <c r="L28" s="195"/>
      <c r="M28" s="195"/>
      <c r="N28" s="2"/>
      <c r="O28" s="2"/>
      <c r="P28" s="2"/>
    </row>
    <row r="29" customFormat="false" ht="15" hidden="false" customHeight="tru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customFormat="false" ht="19.5" hidden="false" customHeight="true" outlineLevel="0" collapsed="false">
      <c r="A30" s="2"/>
      <c r="B30" s="196" t="s">
        <v>187</v>
      </c>
      <c r="C30" s="196"/>
      <c r="D30" s="196"/>
      <c r="E30" s="196"/>
      <c r="F30" s="196"/>
      <c r="G30" s="196"/>
      <c r="H30" s="196"/>
      <c r="I30" s="196"/>
      <c r="J30" s="196"/>
      <c r="K30" s="196"/>
      <c r="L30" s="196"/>
      <c r="M30" s="196"/>
      <c r="N30" s="2"/>
      <c r="O30" s="2"/>
      <c r="P30" s="2"/>
    </row>
    <row r="31" customFormat="false" ht="15" hidden="false" customHeight="true" outlineLevel="0" collapsed="false">
      <c r="A31" s="2"/>
      <c r="B31" s="165" t="s">
        <v>188</v>
      </c>
      <c r="C31" s="165"/>
      <c r="D31" s="165"/>
      <c r="E31" s="165"/>
      <c r="F31" s="165"/>
      <c r="G31" s="165"/>
      <c r="H31" s="165"/>
      <c r="I31" s="165"/>
      <c r="J31" s="165"/>
      <c r="K31" s="165"/>
      <c r="L31" s="165"/>
      <c r="M31" s="165"/>
      <c r="N31" s="2"/>
      <c r="O31" s="2"/>
      <c r="P31" s="2"/>
    </row>
    <row r="32" customFormat="false" ht="15.75" hidden="false" customHeight="true" outlineLevel="0" collapsed="false">
      <c r="A32" s="2"/>
      <c r="B32" s="166" t="s">
        <v>174</v>
      </c>
      <c r="C32" s="2"/>
      <c r="D32" s="167" t="n">
        <v>5000</v>
      </c>
      <c r="E32" s="2"/>
      <c r="F32" s="166" t="s">
        <v>175</v>
      </c>
      <c r="G32" s="2"/>
      <c r="H32" s="168" t="n">
        <v>15</v>
      </c>
      <c r="I32" s="2"/>
      <c r="J32" s="2"/>
      <c r="K32" s="2"/>
      <c r="L32" s="2"/>
      <c r="M32" s="2"/>
      <c r="N32" s="2"/>
      <c r="O32" s="2"/>
      <c r="P32" s="2"/>
    </row>
    <row r="33" customFormat="false" ht="15" hidden="false" customHeight="tru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customFormat="false" ht="15" hidden="false" customHeight="true" outlineLevel="0" collapsed="false">
      <c r="A34" s="2"/>
      <c r="B34" s="197" t="s">
        <v>44</v>
      </c>
      <c r="C34" s="198" t="s">
        <v>123</v>
      </c>
      <c r="D34" s="198"/>
      <c r="E34" s="198" t="s">
        <v>124</v>
      </c>
      <c r="F34" s="198"/>
      <c r="G34" s="198" t="s">
        <v>125</v>
      </c>
      <c r="H34" s="198"/>
      <c r="I34" s="198" t="s">
        <v>126</v>
      </c>
      <c r="J34" s="198"/>
      <c r="K34" s="2"/>
      <c r="L34" s="2"/>
      <c r="M34" s="2"/>
      <c r="N34" s="2"/>
      <c r="O34" s="2"/>
      <c r="P34" s="2"/>
    </row>
    <row r="35" customFormat="false" ht="15" hidden="false" customHeight="true" outlineLevel="0" collapsed="false">
      <c r="A35" s="2"/>
      <c r="B35" s="171" t="s">
        <v>176</v>
      </c>
      <c r="C35" s="172" t="n">
        <f aca="false">$D$32</f>
        <v>5000</v>
      </c>
      <c r="D35" s="172"/>
      <c r="E35" s="172" t="n">
        <f aca="false">$D$32</f>
        <v>5000</v>
      </c>
      <c r="F35" s="172"/>
      <c r="G35" s="172" t="n">
        <f aca="false">$D$32</f>
        <v>5000</v>
      </c>
      <c r="H35" s="172"/>
      <c r="I35" s="172" t="n">
        <f aca="false">$D$32</f>
        <v>5000</v>
      </c>
      <c r="J35" s="172"/>
      <c r="K35" s="2"/>
      <c r="L35" s="2"/>
      <c r="M35" s="2"/>
      <c r="N35" s="2"/>
      <c r="O35" s="2"/>
      <c r="P35" s="2"/>
    </row>
    <row r="36" customFormat="false" ht="15" hidden="false" customHeight="true" outlineLevel="0" collapsed="false">
      <c r="A36" s="2"/>
      <c r="B36" s="173" t="s">
        <v>177</v>
      </c>
      <c r="C36" s="174" t="n">
        <f aca="false">$D$32/$H$32</f>
        <v>333.333333333333</v>
      </c>
      <c r="D36" s="174"/>
      <c r="E36" s="174" t="n">
        <f aca="false">$D$32/$H$32</f>
        <v>333.333333333333</v>
      </c>
      <c r="F36" s="174"/>
      <c r="G36" s="174" t="n">
        <f aca="false">$D$32/$H$32</f>
        <v>333.333333333333</v>
      </c>
      <c r="H36" s="174"/>
      <c r="I36" s="174" t="n">
        <f aca="false">$D$32/$H$32</f>
        <v>333.333333333333</v>
      </c>
      <c r="J36" s="174"/>
      <c r="K36" s="2"/>
      <c r="L36" s="2"/>
      <c r="M36" s="2"/>
      <c r="N36" s="2"/>
      <c r="O36" s="2"/>
      <c r="P36" s="2"/>
    </row>
    <row r="37" customFormat="false" ht="15" hidden="false" customHeight="true" outlineLevel="0" collapsed="false">
      <c r="A37" s="2"/>
      <c r="B37" s="175" t="s">
        <v>178</v>
      </c>
      <c r="C37" s="176" t="n">
        <f aca="false">0.812</f>
        <v>0.812</v>
      </c>
      <c r="D37" s="176"/>
      <c r="E37" s="176" t="n">
        <f aca="false">0.918</f>
        <v>0.918</v>
      </c>
      <c r="F37" s="176"/>
      <c r="G37" s="176" t="n">
        <f aca="false">0.99</f>
        <v>0.99</v>
      </c>
      <c r="H37" s="176"/>
      <c r="I37" s="176" t="n">
        <f aca="false">1.087</f>
        <v>1.087</v>
      </c>
      <c r="J37" s="176"/>
      <c r="K37" s="2"/>
      <c r="L37" s="2"/>
      <c r="M37" s="2"/>
      <c r="N37" s="2"/>
      <c r="O37" s="2"/>
      <c r="P37" s="2"/>
    </row>
    <row r="38" customFormat="false" ht="15" hidden="false" customHeight="true" outlineLevel="0" collapsed="false">
      <c r="A38" s="2"/>
      <c r="B38" s="177" t="s">
        <v>179</v>
      </c>
      <c r="C38" s="178" t="n">
        <f aca="false">C36*C37</f>
        <v>270.666666666667</v>
      </c>
      <c r="D38" s="178"/>
      <c r="E38" s="178" t="n">
        <f aca="false">E36*E37</f>
        <v>306</v>
      </c>
      <c r="F38" s="178"/>
      <c r="G38" s="178" t="n">
        <f aca="false">G36*G37</f>
        <v>330</v>
      </c>
      <c r="H38" s="178"/>
      <c r="I38" s="178" t="n">
        <f aca="false">I36*I37</f>
        <v>362.333333333333</v>
      </c>
      <c r="J38" s="178"/>
      <c r="K38" s="2"/>
      <c r="L38" s="2"/>
      <c r="M38" s="2"/>
      <c r="N38" s="2"/>
      <c r="O38" s="2"/>
      <c r="P38" s="2"/>
    </row>
    <row r="39" customFormat="false" ht="15" hidden="false" customHeight="true" outlineLevel="0" collapsed="false">
      <c r="A39" s="2"/>
      <c r="B39" s="171" t="s">
        <v>180</v>
      </c>
      <c r="C39" s="179" t="n">
        <f aca="false">C38/20</f>
        <v>13.5333333333333</v>
      </c>
      <c r="D39" s="179"/>
      <c r="E39" s="179" t="n">
        <f aca="false">E38/20</f>
        <v>15.3</v>
      </c>
      <c r="F39" s="179"/>
      <c r="G39" s="179" t="n">
        <f aca="false">G38/20</f>
        <v>16.5</v>
      </c>
      <c r="H39" s="179"/>
      <c r="I39" s="179" t="n">
        <f aca="false">I38/20</f>
        <v>18.1166666666667</v>
      </c>
      <c r="J39" s="179"/>
      <c r="K39" s="2"/>
      <c r="L39" s="2"/>
      <c r="M39" s="2"/>
      <c r="N39" s="2"/>
      <c r="O39" s="2"/>
      <c r="P39" s="2"/>
    </row>
    <row r="40" customFormat="false" ht="15" hidden="false" customHeight="true" outlineLevel="0" collapsed="false">
      <c r="A40" s="2"/>
      <c r="B40" s="180" t="s">
        <v>181</v>
      </c>
      <c r="C40" s="181" t="n">
        <f aca="false">C38*$H$7</f>
        <v>6.76666666666667</v>
      </c>
      <c r="D40" s="181"/>
      <c r="E40" s="181" t="n">
        <f aca="false">E38*$H$7</f>
        <v>7.65</v>
      </c>
      <c r="F40" s="181"/>
      <c r="G40" s="181" t="n">
        <f aca="false">G38*$H$7</f>
        <v>8.25</v>
      </c>
      <c r="H40" s="181"/>
      <c r="I40" s="181" t="n">
        <f aca="false">I38*$H$7</f>
        <v>9.05833333333333</v>
      </c>
      <c r="J40" s="181"/>
      <c r="K40" s="2"/>
      <c r="L40" s="2"/>
      <c r="M40" s="2"/>
      <c r="N40" s="2"/>
      <c r="O40" s="2"/>
      <c r="P40" s="2"/>
    </row>
    <row r="41" customFormat="false" ht="15" hidden="false" customHeight="true" outlineLevel="0" collapsed="false">
      <c r="A41" s="2"/>
      <c r="B41" s="182" t="s">
        <v>182</v>
      </c>
      <c r="C41" s="172" t="n">
        <f aca="false">C40*$D$7</f>
        <v>7443.33333333333</v>
      </c>
      <c r="D41" s="172"/>
      <c r="E41" s="172" t="n">
        <f aca="false">E40*$D$7</f>
        <v>8415</v>
      </c>
      <c r="F41" s="172"/>
      <c r="G41" s="172" t="n">
        <f aca="false">G40*$D$7</f>
        <v>9075</v>
      </c>
      <c r="H41" s="172"/>
      <c r="I41" s="172" t="n">
        <f aca="false">I40*$D$7</f>
        <v>9964.16666666667</v>
      </c>
      <c r="J41" s="172"/>
      <c r="K41" s="2"/>
      <c r="L41" s="2"/>
      <c r="M41" s="2"/>
      <c r="N41" s="2"/>
      <c r="O41" s="2"/>
      <c r="P41" s="2"/>
    </row>
    <row r="42" customFormat="false" ht="15" hidden="false" customHeight="true" outlineLevel="0" collapsed="false">
      <c r="A42" s="2"/>
      <c r="B42" s="183" t="s">
        <v>183</v>
      </c>
      <c r="C42" s="184" t="n">
        <f aca="false">C41-C35</f>
        <v>2443.33333333333</v>
      </c>
      <c r="D42" s="184"/>
      <c r="E42" s="184" t="n">
        <f aca="false">E41-E35</f>
        <v>3415</v>
      </c>
      <c r="F42" s="184"/>
      <c r="G42" s="184" t="n">
        <f aca="false">G41-G35</f>
        <v>4075</v>
      </c>
      <c r="H42" s="184"/>
      <c r="I42" s="184" t="n">
        <f aca="false">I41-I35</f>
        <v>4964.16666666667</v>
      </c>
      <c r="J42" s="184"/>
      <c r="K42" s="2"/>
      <c r="L42" s="2"/>
      <c r="M42" s="2"/>
      <c r="N42" s="2"/>
      <c r="O42" s="2"/>
      <c r="P42" s="2"/>
    </row>
    <row r="43" customFormat="false" ht="15" hidden="false" customHeight="true" outlineLevel="0" collapsed="false">
      <c r="A43" s="2"/>
      <c r="B43" s="134" t="s">
        <v>184</v>
      </c>
      <c r="C43" s="199" t="n">
        <f aca="false">C41/C35</f>
        <v>1.48866666666667</v>
      </c>
      <c r="D43" s="199"/>
      <c r="E43" s="199" t="n">
        <f aca="false">E41/E35</f>
        <v>1.683</v>
      </c>
      <c r="F43" s="199"/>
      <c r="G43" s="199" t="n">
        <f aca="false">G41/G35</f>
        <v>1.815</v>
      </c>
      <c r="H43" s="199"/>
      <c r="I43" s="199" t="n">
        <f aca="false">I41/I35</f>
        <v>1.99283333333333</v>
      </c>
      <c r="J43" s="199"/>
      <c r="K43" s="2"/>
      <c r="L43" s="2"/>
      <c r="M43" s="2"/>
      <c r="N43" s="2"/>
      <c r="O43" s="2"/>
      <c r="P43" s="2"/>
    </row>
    <row r="44" customFormat="false" ht="15" hidden="false" customHeight="true" outlineLevel="0" collapsed="false">
      <c r="A44" s="2"/>
      <c r="B44" s="187" t="s">
        <v>185</v>
      </c>
      <c r="C44" s="188" t="n">
        <f aca="false">C35/C40</f>
        <v>738.916256157635</v>
      </c>
      <c r="D44" s="188"/>
      <c r="E44" s="188" t="n">
        <f aca="false">E35/E40</f>
        <v>653.59477124183</v>
      </c>
      <c r="F44" s="188"/>
      <c r="G44" s="188" t="n">
        <f aca="false">G35/G40</f>
        <v>606.060606060606</v>
      </c>
      <c r="H44" s="188"/>
      <c r="I44" s="188" t="n">
        <f aca="false">I35/I40</f>
        <v>551.977920883165</v>
      </c>
      <c r="J44" s="188"/>
      <c r="K44" s="2"/>
      <c r="L44" s="2"/>
      <c r="M44" s="2"/>
      <c r="N44" s="2"/>
      <c r="O44" s="2"/>
      <c r="P44" s="2"/>
    </row>
    <row r="45" customFormat="false" ht="1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customFormat="false" ht="15" hidden="false" customHeight="true" outlineLevel="0" collapsed="false">
      <c r="A46" s="2"/>
      <c r="B46" s="200" t="s">
        <v>189</v>
      </c>
      <c r="C46" s="200"/>
      <c r="D46" s="200"/>
      <c r="E46" s="200"/>
      <c r="F46" s="200"/>
      <c r="G46" s="200"/>
      <c r="H46" s="200"/>
      <c r="I46" s="200"/>
      <c r="J46" s="200"/>
      <c r="K46" s="200"/>
      <c r="L46" s="200"/>
      <c r="M46" s="200"/>
      <c r="N46" s="2"/>
      <c r="O46" s="2"/>
      <c r="P46" s="2"/>
    </row>
    <row r="47" customFormat="false" ht="15" hidden="false" customHeight="true" outlineLevel="0" collapsed="false">
      <c r="A47" s="2"/>
      <c r="B47" s="189" t="s">
        <v>150</v>
      </c>
      <c r="C47" s="189"/>
      <c r="D47" s="189"/>
      <c r="E47" s="190" t="s">
        <v>151</v>
      </c>
      <c r="F47" s="190"/>
      <c r="G47" s="190"/>
      <c r="H47" s="191" t="s">
        <v>153</v>
      </c>
      <c r="I47" s="191"/>
      <c r="J47" s="191"/>
      <c r="K47" s="192" t="s">
        <v>158</v>
      </c>
      <c r="L47" s="192"/>
      <c r="M47" s="192"/>
      <c r="N47" s="2"/>
      <c r="O47" s="2"/>
      <c r="P47" s="2"/>
    </row>
    <row r="48" customFormat="false" ht="15" hidden="false" customHeight="true" outlineLevel="0" collapsed="false">
      <c r="A48" s="2"/>
      <c r="B48" s="193" t="n">
        <f aca="false">C35+E35+G35+I35</f>
        <v>20000</v>
      </c>
      <c r="C48" s="193"/>
      <c r="D48" s="193"/>
      <c r="E48" s="194" t="n">
        <f aca="false">C40+E40+G40+I40</f>
        <v>31.725</v>
      </c>
      <c r="F48" s="194"/>
      <c r="G48" s="194"/>
      <c r="H48" s="193" t="n">
        <f aca="false">C42+E42+G42+I42</f>
        <v>14897.5</v>
      </c>
      <c r="I48" s="193"/>
      <c r="J48" s="193"/>
      <c r="K48" s="195" t="n">
        <f aca="false">(C41+E41+G41+I41)/(C35+E35+G35+I35)</f>
        <v>1.744875</v>
      </c>
      <c r="L48" s="195"/>
      <c r="M48" s="195"/>
      <c r="N48" s="2"/>
      <c r="O48" s="2"/>
      <c r="P48" s="2"/>
    </row>
    <row r="49" customFormat="false" ht="15" hidden="false" customHeight="true" outlineLevel="0" collapsed="false">
      <c r="A49" s="2"/>
      <c r="B49" s="193"/>
      <c r="C49" s="193"/>
      <c r="D49" s="193"/>
      <c r="E49" s="194"/>
      <c r="F49" s="194"/>
      <c r="G49" s="194"/>
      <c r="H49" s="193"/>
      <c r="I49" s="193"/>
      <c r="J49" s="193"/>
      <c r="K49" s="195"/>
      <c r="L49" s="195"/>
      <c r="M49" s="195"/>
      <c r="N49" s="2"/>
      <c r="O49" s="2"/>
      <c r="P49" s="2"/>
    </row>
    <row r="50" customFormat="false" ht="1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customFormat="false" ht="17.25" hidden="false" customHeight="true" outlineLevel="0" collapsed="false">
      <c r="A51" s="2"/>
      <c r="B51" s="155" t="s">
        <v>110</v>
      </c>
      <c r="C51" s="155"/>
      <c r="D51" s="155"/>
      <c r="E51" s="155"/>
      <c r="F51" s="155"/>
      <c r="G51" s="155"/>
      <c r="H51" s="155"/>
      <c r="I51" s="155"/>
      <c r="J51" s="155"/>
      <c r="K51" s="155"/>
      <c r="L51" s="155"/>
      <c r="M51" s="155"/>
      <c r="N51" s="2"/>
      <c r="O51" s="2"/>
      <c r="P51" s="2"/>
    </row>
    <row r="52" customFormat="false" ht="24" hidden="false" customHeight="true" outlineLevel="0" collapsed="false">
      <c r="A52" s="2"/>
      <c r="B52" s="156" t="s">
        <v>190</v>
      </c>
      <c r="C52" s="156"/>
      <c r="D52" s="156"/>
      <c r="E52" s="156"/>
      <c r="F52" s="156"/>
      <c r="G52" s="156"/>
      <c r="H52" s="156"/>
      <c r="I52" s="156"/>
      <c r="J52" s="156"/>
      <c r="K52" s="156"/>
      <c r="L52" s="156"/>
      <c r="M52" s="156"/>
      <c r="N52" s="2"/>
      <c r="O52" s="2"/>
      <c r="P52" s="2"/>
    </row>
    <row r="53" customFormat="false" ht="24" hidden="false" customHeight="true" outlineLevel="0" collapsed="false">
      <c r="A53" s="2"/>
      <c r="B53" s="156"/>
      <c r="C53" s="156"/>
      <c r="D53" s="156"/>
      <c r="E53" s="156"/>
      <c r="F53" s="156"/>
      <c r="G53" s="156"/>
      <c r="H53" s="156"/>
      <c r="I53" s="156"/>
      <c r="J53" s="156"/>
      <c r="K53" s="156"/>
      <c r="L53" s="156"/>
      <c r="M53" s="156"/>
      <c r="N53" s="2"/>
      <c r="O53" s="2"/>
      <c r="P53" s="2"/>
    </row>
    <row r="54" customFormat="false" ht="24" hidden="false" customHeight="true" outlineLevel="0" collapsed="false">
      <c r="A54" s="2"/>
      <c r="B54" s="156"/>
      <c r="C54" s="156"/>
      <c r="D54" s="156"/>
      <c r="E54" s="156"/>
      <c r="F54" s="156"/>
      <c r="G54" s="156"/>
      <c r="H54" s="156"/>
      <c r="I54" s="156"/>
      <c r="J54" s="156"/>
      <c r="K54" s="156"/>
      <c r="L54" s="156"/>
      <c r="M54" s="156"/>
      <c r="N54" s="2"/>
      <c r="O54" s="2"/>
      <c r="P54" s="2"/>
    </row>
    <row r="55" customFormat="false" ht="1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customFormat="false" ht="1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customFormat="false" ht="1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customFormat="false" ht="1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customFormat="false" ht="1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customFormat="false" ht="1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customFormat="false" ht="1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customFormat="false" ht="1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customFormat="false" ht="1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customFormat="false" ht="1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customFormat="false" ht="1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customFormat="false" ht="1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customFormat="false" ht="1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customFormat="false" ht="1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customFormat="false" ht="1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customFormat="false" ht="1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customFormat="false" ht="1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customFormat="false" ht="1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customFormat="false" ht="1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customFormat="false" ht="1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customFormat="false" ht="1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customFormat="false" ht="1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customFormat="false" ht="1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customFormat="false" ht="1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customFormat="false" ht="1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customFormat="false" ht="1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customFormat="false" ht="1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customFormat="false" ht="1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customFormat="false" ht="1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customFormat="false" ht="1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customFormat="false" ht="1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customFormat="false" ht="1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customFormat="false" ht="1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customFormat="false" ht="1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customFormat="false" ht="1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customFormat="false" ht="1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customFormat="false" ht="1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customFormat="false" ht="1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customFormat="false" ht="1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customFormat="false" ht="1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customFormat="false" ht="1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customFormat="false" ht="1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customFormat="false" ht="1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customFormat="false" ht="1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customFormat="false" ht="1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customFormat="false" ht="1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customFormat="false" ht="1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customFormat="false" ht="1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customFormat="false" ht="1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customFormat="false" ht="1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customFormat="false" ht="1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customFormat="false" ht="1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customFormat="false" ht="1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customFormat="false" ht="1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customFormat="false" ht="1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customFormat="false" ht="1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customFormat="false" ht="1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customFormat="false" ht="1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customFormat="false" ht="1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customFormat="false" ht="1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customFormat="false" ht="1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customFormat="false" ht="1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customFormat="false" ht="1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customFormat="false" ht="1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customFormat="false" ht="1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customFormat="false" ht="1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customFormat="false" ht="1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customFormat="false" ht="1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customFormat="false" ht="1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customFormat="false" ht="1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customFormat="false" ht="1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customFormat="false" ht="1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customFormat="false" ht="1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customFormat="false" ht="1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customFormat="false" ht="1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customFormat="false" ht="1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customFormat="false" ht="1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customFormat="false" ht="1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customFormat="false" ht="1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customFormat="false" ht="1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customFormat="false" ht="1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customFormat="false" ht="1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customFormat="false" ht="1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customFormat="false" ht="1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customFormat="false" ht="1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customFormat="false" ht="1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customFormat="false" ht="1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customFormat="false" ht="1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customFormat="false" ht="1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customFormat="false" ht="1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customFormat="false" ht="1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customFormat="false" ht="1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customFormat="false" ht="1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customFormat="false" ht="1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customFormat="false" ht="1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customFormat="false" ht="1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</sheetData>
  <mergeCells count="116">
    <mergeCell ref="B2:M2"/>
    <mergeCell ref="B3:M3"/>
    <mergeCell ref="B4:M4"/>
    <mergeCell ref="B6:M6"/>
    <mergeCell ref="B9:M9"/>
    <mergeCell ref="B10:M10"/>
    <mergeCell ref="C13:D13"/>
    <mergeCell ref="E13:F13"/>
    <mergeCell ref="G13:H13"/>
    <mergeCell ref="I13:J13"/>
    <mergeCell ref="C14:D14"/>
    <mergeCell ref="E14:F14"/>
    <mergeCell ref="G14:H14"/>
    <mergeCell ref="I14:J14"/>
    <mergeCell ref="C15:D15"/>
    <mergeCell ref="E15:F15"/>
    <mergeCell ref="G15:H15"/>
    <mergeCell ref="I15:J15"/>
    <mergeCell ref="C16:D16"/>
    <mergeCell ref="E16:F16"/>
    <mergeCell ref="G16:H16"/>
    <mergeCell ref="I16:J16"/>
    <mergeCell ref="C17:D17"/>
    <mergeCell ref="E17:F17"/>
    <mergeCell ref="G17:H17"/>
    <mergeCell ref="I17:J17"/>
    <mergeCell ref="C18:D18"/>
    <mergeCell ref="E18:F18"/>
    <mergeCell ref="G18:H18"/>
    <mergeCell ref="I18:J18"/>
    <mergeCell ref="C19:D19"/>
    <mergeCell ref="E19:F19"/>
    <mergeCell ref="G19:H19"/>
    <mergeCell ref="I19:J19"/>
    <mergeCell ref="C20:D20"/>
    <mergeCell ref="E20:F20"/>
    <mergeCell ref="G20:H20"/>
    <mergeCell ref="I20:J20"/>
    <mergeCell ref="C21:D21"/>
    <mergeCell ref="E21:F21"/>
    <mergeCell ref="G21:H21"/>
    <mergeCell ref="I21:J21"/>
    <mergeCell ref="C22:D22"/>
    <mergeCell ref="E22:F22"/>
    <mergeCell ref="G22:H22"/>
    <mergeCell ref="I22:J22"/>
    <mergeCell ref="C23:D23"/>
    <mergeCell ref="E23:F23"/>
    <mergeCell ref="G23:H23"/>
    <mergeCell ref="I23:J23"/>
    <mergeCell ref="B25:M25"/>
    <mergeCell ref="B26:D26"/>
    <mergeCell ref="E26:G26"/>
    <mergeCell ref="H26:J26"/>
    <mergeCell ref="K26:M26"/>
    <mergeCell ref="B27:D28"/>
    <mergeCell ref="E27:G28"/>
    <mergeCell ref="H27:J28"/>
    <mergeCell ref="K27:M28"/>
    <mergeCell ref="B30:M30"/>
    <mergeCell ref="B31:M31"/>
    <mergeCell ref="C34:D34"/>
    <mergeCell ref="E34:F34"/>
    <mergeCell ref="G34:H34"/>
    <mergeCell ref="I34:J34"/>
    <mergeCell ref="C35:D35"/>
    <mergeCell ref="E35:F35"/>
    <mergeCell ref="G35:H35"/>
    <mergeCell ref="I35:J35"/>
    <mergeCell ref="C36:D36"/>
    <mergeCell ref="E36:F36"/>
    <mergeCell ref="G36:H36"/>
    <mergeCell ref="I36:J36"/>
    <mergeCell ref="C37:D37"/>
    <mergeCell ref="E37:F37"/>
    <mergeCell ref="G37:H37"/>
    <mergeCell ref="I37:J37"/>
    <mergeCell ref="C38:D38"/>
    <mergeCell ref="E38:F38"/>
    <mergeCell ref="G38:H38"/>
    <mergeCell ref="I38:J38"/>
    <mergeCell ref="C39:D39"/>
    <mergeCell ref="E39:F39"/>
    <mergeCell ref="G39:H39"/>
    <mergeCell ref="I39:J39"/>
    <mergeCell ref="C40:D40"/>
    <mergeCell ref="E40:F40"/>
    <mergeCell ref="G40:H40"/>
    <mergeCell ref="I40:J40"/>
    <mergeCell ref="C41:D41"/>
    <mergeCell ref="E41:F41"/>
    <mergeCell ref="G41:H41"/>
    <mergeCell ref="I41:J41"/>
    <mergeCell ref="C42:D42"/>
    <mergeCell ref="E42:F42"/>
    <mergeCell ref="G42:H42"/>
    <mergeCell ref="I42:J42"/>
    <mergeCell ref="C43:D43"/>
    <mergeCell ref="E43:F43"/>
    <mergeCell ref="G43:H43"/>
    <mergeCell ref="I43:J43"/>
    <mergeCell ref="C44:D44"/>
    <mergeCell ref="E44:F44"/>
    <mergeCell ref="G44:H44"/>
    <mergeCell ref="I44:J44"/>
    <mergeCell ref="B46:M46"/>
    <mergeCell ref="B47:D47"/>
    <mergeCell ref="E47:G47"/>
    <mergeCell ref="H47:J47"/>
    <mergeCell ref="K47:M47"/>
    <mergeCell ref="B48:D49"/>
    <mergeCell ref="E48:G49"/>
    <mergeCell ref="H48:J49"/>
    <mergeCell ref="K48:M49"/>
    <mergeCell ref="B51:M51"/>
    <mergeCell ref="B52:M54"/>
  </mergeCells>
  <printOptions headings="false" gridLines="false" gridLinesSet="true" horizontalCentered="false" verticalCentered="false"/>
  <pageMargins left="0.2" right="0.2" top="0.3" bottom="0.3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2026-06-30T08:52:01Z</dcterms:created>
  <dc:creator>openpyxl</dc:creator>
  <dc:description/>
  <dc:language>en-US</dc:language>
  <cp:lastModifiedBy/>
  <dcterms:modified xsi:type="dcterms:W3CDTF">2026-06-30T13:16:25Z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